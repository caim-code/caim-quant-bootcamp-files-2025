
<file path=[Content_Types].xml><?xml version="1.0" encoding="utf-8"?>
<Types xmlns="http://schemas.openxmlformats.org/package/2006/content-types">
  <Default Extension="bin" ContentType="application/vnd.ms-office.vbaProject"/>
  <Default Extension="png" ContentType="image/pn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charts/chart1.xml" ContentType="application/vnd.openxmlformats-officedocument.drawingml.chart+xml"/>
  <Override PartName="/xl/drawings/drawing3.xml" ContentType="application/vnd.openxmlformats-officedocument.drawing+xml"/>
  <Override PartName="/xl/charts/chart2.xml" ContentType="application/vnd.openxmlformats-officedocument.drawingml.chart+xml"/>
  <Override PartName="/xl/charts/chart3.xml" ContentType="application/vnd.openxmlformats-officedocument.drawingml.chart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029" codeName="{DD97A8EA-9A9A-E61F-A557-7D5A7D7259CE}"/>
  <workbookPr codeName="ThisWorkbook"/>
  <mc:AlternateContent xmlns:mc="http://schemas.openxmlformats.org/markup-compatibility/2006">
    <mc:Choice Requires="x15">
      <x15ac:absPath xmlns:x15ac="http://schemas.microsoft.com/office/spreadsheetml/2010/11/ac" url="F:\QRA\Alan\CB Workshop\2025 Workshop\"/>
    </mc:Choice>
  </mc:AlternateContent>
  <xr:revisionPtr revIDLastSave="0" documentId="13_ncr:1_{39BCFF5C-805F-475D-B095-5B16D394C3A4}" xr6:coauthVersionLast="47" xr6:coauthVersionMax="47" xr10:uidLastSave="{00000000-0000-0000-0000-000000000000}"/>
  <bookViews>
    <workbookView xWindow="343" yWindow="1157" windowWidth="21591" windowHeight="10157" xr2:uid="{00000000-000D-0000-FFFF-FFFF00000000}"/>
  </bookViews>
  <sheets>
    <sheet name="sim" sheetId="1" r:id="rId1"/>
    <sheet name="histogram100" sheetId="2" r:id="rId2"/>
    <sheet name="histogram500" sheetId="3" r:id="rId3"/>
  </sheets>
  <functionGroups builtInGroupCount="19"/>
  <definedNames>
    <definedName name="adjchol">sim!$H$13:$J$15</definedName>
    <definedName name="adjcorrs">sim!$H$8:$J$10</definedName>
    <definedName name="assetnames">sim!$C$2:$E$2</definedName>
    <definedName name="chol">sim!$C$13:$E$15</definedName>
    <definedName name="corrs">sim!$C$8:$E$10</definedName>
    <definedName name="rands">sim!$C$28:$E$127</definedName>
    <definedName name="randscorrel">sim!$H$28:$J$127</definedName>
    <definedName name="simreturns">sim!$M$28:$O$127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B504" i="3" l="1"/>
  <c r="B503" i="3"/>
  <c r="B502" i="3"/>
  <c r="B501" i="3"/>
  <c r="B500" i="3"/>
  <c r="B499" i="3"/>
  <c r="B498" i="3"/>
  <c r="B497" i="3"/>
  <c r="B496" i="3"/>
  <c r="B495" i="3"/>
  <c r="B494" i="3"/>
  <c r="B493" i="3"/>
  <c r="B492" i="3"/>
  <c r="B491" i="3"/>
  <c r="B490" i="3"/>
  <c r="B489" i="3"/>
  <c r="B488" i="3"/>
  <c r="B487" i="3"/>
  <c r="B486" i="3"/>
  <c r="B485" i="3"/>
  <c r="B484" i="3"/>
  <c r="B483" i="3"/>
  <c r="B482" i="3"/>
  <c r="B481" i="3"/>
  <c r="B480" i="3"/>
  <c r="B479" i="3"/>
  <c r="B478" i="3"/>
  <c r="B477" i="3"/>
  <c r="B476" i="3"/>
  <c r="B475" i="3"/>
  <c r="B474" i="3"/>
  <c r="B473" i="3"/>
  <c r="B472" i="3"/>
  <c r="B471" i="3"/>
  <c r="B470" i="3"/>
  <c r="B469" i="3"/>
  <c r="B468" i="3"/>
  <c r="B467" i="3"/>
  <c r="B466" i="3"/>
  <c r="B465" i="3"/>
  <c r="B464" i="3"/>
  <c r="B463" i="3"/>
  <c r="B462" i="3"/>
  <c r="B461" i="3"/>
  <c r="B460" i="3"/>
  <c r="B459" i="3"/>
  <c r="B458" i="3"/>
  <c r="B457" i="3"/>
  <c r="B456" i="3"/>
  <c r="B455" i="3"/>
  <c r="B454" i="3"/>
  <c r="B453" i="3"/>
  <c r="B452" i="3"/>
  <c r="B451" i="3"/>
  <c r="B450" i="3"/>
  <c r="B449" i="3"/>
  <c r="B448" i="3"/>
  <c r="B447" i="3"/>
  <c r="B446" i="3"/>
  <c r="B445" i="3"/>
  <c r="B444" i="3"/>
  <c r="B443" i="3"/>
  <c r="B442" i="3"/>
  <c r="B441" i="3"/>
  <c r="B440" i="3"/>
  <c r="B439" i="3"/>
  <c r="B438" i="3"/>
  <c r="B437" i="3"/>
  <c r="B436" i="3"/>
  <c r="B435" i="3"/>
  <c r="B434" i="3"/>
  <c r="B433" i="3"/>
  <c r="B432" i="3"/>
  <c r="B431" i="3"/>
  <c r="B430" i="3"/>
  <c r="B429" i="3"/>
  <c r="B428" i="3"/>
  <c r="B427" i="3"/>
  <c r="B426" i="3"/>
  <c r="B425" i="3"/>
  <c r="B424" i="3"/>
  <c r="B423" i="3"/>
  <c r="B422" i="3"/>
  <c r="B421" i="3"/>
  <c r="B420" i="3"/>
  <c r="B419" i="3"/>
  <c r="B418" i="3"/>
  <c r="B417" i="3"/>
  <c r="B416" i="3"/>
  <c r="B415" i="3"/>
  <c r="B414" i="3"/>
  <c r="B413" i="3"/>
  <c r="B412" i="3"/>
  <c r="B411" i="3"/>
  <c r="B410" i="3"/>
  <c r="B409" i="3"/>
  <c r="B408" i="3"/>
  <c r="B407" i="3"/>
  <c r="B406" i="3"/>
  <c r="B405" i="3"/>
  <c r="B404" i="3"/>
  <c r="B403" i="3"/>
  <c r="B402" i="3"/>
  <c r="B401" i="3"/>
  <c r="B400" i="3"/>
  <c r="B399" i="3"/>
  <c r="B398" i="3"/>
  <c r="B397" i="3"/>
  <c r="B396" i="3"/>
  <c r="B395" i="3"/>
  <c r="B394" i="3"/>
  <c r="B393" i="3"/>
  <c r="B392" i="3"/>
  <c r="B391" i="3"/>
  <c r="B390" i="3"/>
  <c r="B389" i="3"/>
  <c r="B388" i="3"/>
  <c r="B387" i="3"/>
  <c r="B386" i="3"/>
  <c r="B385" i="3"/>
  <c r="B384" i="3"/>
  <c r="B383" i="3"/>
  <c r="B382" i="3"/>
  <c r="B381" i="3"/>
  <c r="B380" i="3"/>
  <c r="B379" i="3"/>
  <c r="B378" i="3"/>
  <c r="B377" i="3"/>
  <c r="B376" i="3"/>
  <c r="B375" i="3"/>
  <c r="B374" i="3"/>
  <c r="B373" i="3"/>
  <c r="B372" i="3"/>
  <c r="B371" i="3"/>
  <c r="B370" i="3"/>
  <c r="B369" i="3"/>
  <c r="B368" i="3"/>
  <c r="B367" i="3"/>
  <c r="B366" i="3"/>
  <c r="B365" i="3"/>
  <c r="B364" i="3"/>
  <c r="B363" i="3"/>
  <c r="B362" i="3"/>
  <c r="B361" i="3"/>
  <c r="B360" i="3"/>
  <c r="B359" i="3"/>
  <c r="B358" i="3"/>
  <c r="B357" i="3"/>
  <c r="B356" i="3"/>
  <c r="B355" i="3"/>
  <c r="B354" i="3"/>
  <c r="B353" i="3"/>
  <c r="B352" i="3"/>
  <c r="B351" i="3"/>
  <c r="B350" i="3"/>
  <c r="B349" i="3"/>
  <c r="B348" i="3"/>
  <c r="B347" i="3"/>
  <c r="B346" i="3"/>
  <c r="B345" i="3"/>
  <c r="B344" i="3"/>
  <c r="B343" i="3"/>
  <c r="B342" i="3"/>
  <c r="B341" i="3"/>
  <c r="B340" i="3"/>
  <c r="B339" i="3"/>
  <c r="B338" i="3"/>
  <c r="B337" i="3"/>
  <c r="B336" i="3"/>
  <c r="B335" i="3"/>
  <c r="B334" i="3"/>
  <c r="B333" i="3"/>
  <c r="B332" i="3"/>
  <c r="B331" i="3"/>
  <c r="B330" i="3"/>
  <c r="B329" i="3"/>
  <c r="B328" i="3"/>
  <c r="B327" i="3"/>
  <c r="B326" i="3"/>
  <c r="B325" i="3"/>
  <c r="B324" i="3"/>
  <c r="B323" i="3"/>
  <c r="B322" i="3"/>
  <c r="B321" i="3"/>
  <c r="B320" i="3"/>
  <c r="B319" i="3"/>
  <c r="B318" i="3"/>
  <c r="B317" i="3"/>
  <c r="B316" i="3"/>
  <c r="B315" i="3"/>
  <c r="B314" i="3"/>
  <c r="B313" i="3"/>
  <c r="B312" i="3"/>
  <c r="B311" i="3"/>
  <c r="B310" i="3"/>
  <c r="B309" i="3"/>
  <c r="B308" i="3"/>
  <c r="B307" i="3"/>
  <c r="B306" i="3"/>
  <c r="B305" i="3"/>
  <c r="B304" i="3"/>
  <c r="B303" i="3"/>
  <c r="B302" i="3"/>
  <c r="B301" i="3"/>
  <c r="B300" i="3"/>
  <c r="B299" i="3"/>
  <c r="B298" i="3"/>
  <c r="B297" i="3"/>
  <c r="B296" i="3"/>
  <c r="B295" i="3"/>
  <c r="B294" i="3"/>
  <c r="B293" i="3"/>
  <c r="B292" i="3"/>
  <c r="B291" i="3"/>
  <c r="B290" i="3"/>
  <c r="B289" i="3"/>
  <c r="B288" i="3"/>
  <c r="B287" i="3"/>
  <c r="B286" i="3"/>
  <c r="B285" i="3"/>
  <c r="B284" i="3"/>
  <c r="B283" i="3"/>
  <c r="B282" i="3"/>
  <c r="B281" i="3"/>
  <c r="B280" i="3"/>
  <c r="B279" i="3"/>
  <c r="B278" i="3"/>
  <c r="B277" i="3"/>
  <c r="B276" i="3"/>
  <c r="B275" i="3"/>
  <c r="B274" i="3"/>
  <c r="B273" i="3"/>
  <c r="B272" i="3"/>
  <c r="B271" i="3"/>
  <c r="B270" i="3"/>
  <c r="B269" i="3"/>
  <c r="B268" i="3"/>
  <c r="B267" i="3"/>
  <c r="B266" i="3"/>
  <c r="B265" i="3"/>
  <c r="B264" i="3"/>
  <c r="B263" i="3"/>
  <c r="B262" i="3"/>
  <c r="B261" i="3"/>
  <c r="B260" i="3"/>
  <c r="B259" i="3"/>
  <c r="B258" i="3"/>
  <c r="B257" i="3"/>
  <c r="B256" i="3"/>
  <c r="B255" i="3"/>
  <c r="B254" i="3"/>
  <c r="B253" i="3"/>
  <c r="B252" i="3"/>
  <c r="B251" i="3"/>
  <c r="B250" i="3"/>
  <c r="B249" i="3"/>
  <c r="B248" i="3"/>
  <c r="B247" i="3"/>
  <c r="B246" i="3"/>
  <c r="B245" i="3"/>
  <c r="B244" i="3"/>
  <c r="B243" i="3"/>
  <c r="B242" i="3"/>
  <c r="B241" i="3"/>
  <c r="B240" i="3"/>
  <c r="B239" i="3"/>
  <c r="B238" i="3"/>
  <c r="B237" i="3"/>
  <c r="B236" i="3"/>
  <c r="B235" i="3"/>
  <c r="B234" i="3"/>
  <c r="B233" i="3"/>
  <c r="B232" i="3"/>
  <c r="B231" i="3"/>
  <c r="B230" i="3"/>
  <c r="B229" i="3"/>
  <c r="B228" i="3"/>
  <c r="B227" i="3"/>
  <c r="B226" i="3"/>
  <c r="B225" i="3"/>
  <c r="B224" i="3"/>
  <c r="B223" i="3"/>
  <c r="B222" i="3"/>
  <c r="B221" i="3"/>
  <c r="B220" i="3"/>
  <c r="B219" i="3"/>
  <c r="B218" i="3"/>
  <c r="B217" i="3"/>
  <c r="B216" i="3"/>
  <c r="B215" i="3"/>
  <c r="B214" i="3"/>
  <c r="B213" i="3"/>
  <c r="B212" i="3"/>
  <c r="B211" i="3"/>
  <c r="B210" i="3"/>
  <c r="B209" i="3"/>
  <c r="B208" i="3"/>
  <c r="B207" i="3"/>
  <c r="B206" i="3"/>
  <c r="B205" i="3"/>
  <c r="B204" i="3"/>
  <c r="B203" i="3"/>
  <c r="B202" i="3"/>
  <c r="B201" i="3"/>
  <c r="B200" i="3"/>
  <c r="B199" i="3"/>
  <c r="B198" i="3"/>
  <c r="B197" i="3"/>
  <c r="B196" i="3"/>
  <c r="B195" i="3"/>
  <c r="B194" i="3"/>
  <c r="B193" i="3"/>
  <c r="B192" i="3"/>
  <c r="B191" i="3"/>
  <c r="B190" i="3"/>
  <c r="B189" i="3"/>
  <c r="B188" i="3"/>
  <c r="B187" i="3"/>
  <c r="B186" i="3"/>
  <c r="B185" i="3"/>
  <c r="B184" i="3"/>
  <c r="B183" i="3"/>
  <c r="B182" i="3"/>
  <c r="B181" i="3"/>
  <c r="B180" i="3"/>
  <c r="B179" i="3"/>
  <c r="B178" i="3"/>
  <c r="B177" i="3"/>
  <c r="B176" i="3"/>
  <c r="B175" i="3"/>
  <c r="B174" i="3"/>
  <c r="B173" i="3"/>
  <c r="B172" i="3"/>
  <c r="B171" i="3"/>
  <c r="B170" i="3"/>
  <c r="B169" i="3"/>
  <c r="B168" i="3"/>
  <c r="B167" i="3"/>
  <c r="B166" i="3"/>
  <c r="B165" i="3"/>
  <c r="B164" i="3"/>
  <c r="B163" i="3"/>
  <c r="B162" i="3"/>
  <c r="B161" i="3"/>
  <c r="B160" i="3"/>
  <c r="B159" i="3"/>
  <c r="B158" i="3"/>
  <c r="B157" i="3"/>
  <c r="B156" i="3"/>
  <c r="B155" i="3"/>
  <c r="B154" i="3"/>
  <c r="B153" i="3"/>
  <c r="B152" i="3"/>
  <c r="B151" i="3"/>
  <c r="B150" i="3"/>
  <c r="B149" i="3"/>
  <c r="B148" i="3"/>
  <c r="B147" i="3"/>
  <c r="B146" i="3"/>
  <c r="B145" i="3"/>
  <c r="B144" i="3"/>
  <c r="B143" i="3"/>
  <c r="B142" i="3"/>
  <c r="B141" i="3"/>
  <c r="B140" i="3"/>
  <c r="B139" i="3"/>
  <c r="B138" i="3"/>
  <c r="B137" i="3"/>
  <c r="B136" i="3"/>
  <c r="B135" i="3"/>
  <c r="B134" i="3"/>
  <c r="B133" i="3"/>
  <c r="B132" i="3"/>
  <c r="B131" i="3"/>
  <c r="B130" i="3"/>
  <c r="B129" i="3"/>
  <c r="B128" i="3"/>
  <c r="B127" i="3"/>
  <c r="B126" i="3"/>
  <c r="B125" i="3"/>
  <c r="B124" i="3"/>
  <c r="B123" i="3"/>
  <c r="B122" i="3"/>
  <c r="B121" i="3"/>
  <c r="B120" i="3"/>
  <c r="B119" i="3"/>
  <c r="B118" i="3"/>
  <c r="B117" i="3"/>
  <c r="B116" i="3"/>
  <c r="B115" i="3"/>
  <c r="B114" i="3"/>
  <c r="B113" i="3"/>
  <c r="B112" i="3"/>
  <c r="B111" i="3"/>
  <c r="B110" i="3"/>
  <c r="B109" i="3"/>
  <c r="B108" i="3"/>
  <c r="B107" i="3"/>
  <c r="B106" i="3"/>
  <c r="B105" i="3"/>
  <c r="B104" i="3"/>
  <c r="B6" i="3"/>
  <c r="B7" i="3"/>
  <c r="B8" i="3"/>
  <c r="B9" i="3"/>
  <c r="B10" i="3"/>
  <c r="B11" i="3"/>
  <c r="B12" i="3"/>
  <c r="B13" i="3"/>
  <c r="B14" i="3"/>
  <c r="B15" i="3"/>
  <c r="B16" i="3"/>
  <c r="B17" i="3"/>
  <c r="B18" i="3"/>
  <c r="B19" i="3"/>
  <c r="B20" i="3"/>
  <c r="B21" i="3"/>
  <c r="B22" i="3"/>
  <c r="B23" i="3"/>
  <c r="B24" i="3"/>
  <c r="B25" i="3"/>
  <c r="B26" i="3"/>
  <c r="B27" i="3"/>
  <c r="B28" i="3"/>
  <c r="B29" i="3"/>
  <c r="B30" i="3"/>
  <c r="B31" i="3"/>
  <c r="B32" i="3"/>
  <c r="B33" i="3"/>
  <c r="B34" i="3"/>
  <c r="B35" i="3"/>
  <c r="B36" i="3"/>
  <c r="B37" i="3"/>
  <c r="B38" i="3"/>
  <c r="B39" i="3"/>
  <c r="B40" i="3"/>
  <c r="B41" i="3"/>
  <c r="B42" i="3"/>
  <c r="B43" i="3"/>
  <c r="B44" i="3"/>
  <c r="B45" i="3"/>
  <c r="B46" i="3"/>
  <c r="B47" i="3"/>
  <c r="B48" i="3"/>
  <c r="B49" i="3"/>
  <c r="B50" i="3"/>
  <c r="B51" i="3"/>
  <c r="B52" i="3"/>
  <c r="B53" i="3"/>
  <c r="B54" i="3"/>
  <c r="B55" i="3"/>
  <c r="B56" i="3"/>
  <c r="B57" i="3"/>
  <c r="B58" i="3"/>
  <c r="B59" i="3"/>
  <c r="B60" i="3"/>
  <c r="B61" i="3"/>
  <c r="B62" i="3"/>
  <c r="B63" i="3"/>
  <c r="B64" i="3"/>
  <c r="B65" i="3"/>
  <c r="B66" i="3"/>
  <c r="B67" i="3"/>
  <c r="B68" i="3"/>
  <c r="B69" i="3"/>
  <c r="B70" i="3"/>
  <c r="B71" i="3"/>
  <c r="B72" i="3"/>
  <c r="B73" i="3"/>
  <c r="B74" i="3"/>
  <c r="B75" i="3"/>
  <c r="B76" i="3"/>
  <c r="B77" i="3"/>
  <c r="B78" i="3"/>
  <c r="B79" i="3"/>
  <c r="B80" i="3"/>
  <c r="B81" i="3"/>
  <c r="B82" i="3"/>
  <c r="B83" i="3"/>
  <c r="B84" i="3"/>
  <c r="B85" i="3"/>
  <c r="B86" i="3"/>
  <c r="B87" i="3"/>
  <c r="B88" i="3"/>
  <c r="B89" i="3"/>
  <c r="B90" i="3"/>
  <c r="B91" i="3"/>
  <c r="B92" i="3"/>
  <c r="B93" i="3"/>
  <c r="B94" i="3"/>
  <c r="B95" i="3"/>
  <c r="B96" i="3"/>
  <c r="B97" i="3"/>
  <c r="B98" i="3"/>
  <c r="B99" i="3"/>
  <c r="B100" i="3"/>
  <c r="B101" i="3"/>
  <c r="B102" i="3"/>
  <c r="B103" i="3"/>
  <c r="B5" i="3"/>
  <c r="O5" i="3" l="1" a="1"/>
  <c r="O5" i="3" s="1"/>
  <c r="O24" i="3" a="1"/>
  <c r="O24" i="3" s="1"/>
  <c r="O8" i="3" a="1"/>
  <c r="O8" i="3" s="1"/>
  <c r="O7" i="3" a="1"/>
  <c r="O7" i="3" s="1"/>
  <c r="O23" i="3" a="1"/>
  <c r="O23" i="3" s="1"/>
  <c r="O6" i="3" a="1"/>
  <c r="O6" i="3" s="1"/>
  <c r="O15" i="3" a="1"/>
  <c r="O15" i="3" s="1"/>
  <c r="O31" i="3" a="1"/>
  <c r="O31" i="3" s="1"/>
  <c r="O17" i="3" a="1"/>
  <c r="O17" i="3" s="1"/>
  <c r="O33" i="3" a="1"/>
  <c r="O33" i="3" s="1"/>
  <c r="O9" i="3" a="1"/>
  <c r="O9" i="3" s="1"/>
  <c r="O25" i="3" a="1"/>
  <c r="O25" i="3" s="1"/>
  <c r="O16" i="3" a="1"/>
  <c r="O16" i="3" s="1"/>
  <c r="O18" i="3" a="1"/>
  <c r="O18" i="3" s="1"/>
  <c r="O34" i="3" a="1"/>
  <c r="O34" i="3" s="1"/>
  <c r="O10" i="3" a="1"/>
  <c r="O10" i="3" s="1"/>
  <c r="O26" i="3" a="1"/>
  <c r="O26" i="3" s="1"/>
  <c r="O11" i="3" a="1"/>
  <c r="O11" i="3" s="1"/>
  <c r="O27" i="3" a="1"/>
  <c r="O27" i="3" s="1"/>
  <c r="O32" i="3" a="1"/>
  <c r="O32" i="3" s="1"/>
  <c r="O19" i="3" a="1"/>
  <c r="O19" i="3" s="1"/>
  <c r="O35" i="3" a="1"/>
  <c r="O35" i="3" s="1"/>
  <c r="O20" i="3" a="1"/>
  <c r="O20" i="3" s="1"/>
  <c r="O36" i="3" a="1"/>
  <c r="O36" i="3" s="1"/>
  <c r="O12" i="3" a="1"/>
  <c r="O12" i="3" s="1"/>
  <c r="O28" i="3" a="1"/>
  <c r="O28" i="3" s="1"/>
  <c r="O21" i="3" a="1"/>
  <c r="O21" i="3" s="1"/>
  <c r="O37" i="3" a="1"/>
  <c r="O37" i="3" s="1"/>
  <c r="O13" i="3" a="1"/>
  <c r="O13" i="3" s="1"/>
  <c r="O29" i="3" a="1"/>
  <c r="O29" i="3" s="1"/>
  <c r="O22" i="3" a="1"/>
  <c r="O22" i="3" s="1"/>
  <c r="O14" i="3" a="1"/>
  <c r="O14" i="3" s="1"/>
  <c r="O30" i="3" a="1"/>
  <c r="O30" i="3" s="1"/>
  <c r="E6" i="3" a="1"/>
  <c r="E6" i="3" s="1"/>
  <c r="E85" i="3" a="1"/>
  <c r="E85" i="3" s="1"/>
  <c r="E86" i="3" a="1"/>
  <c r="E86" i="3" s="1"/>
  <c r="E14" i="3" a="1"/>
  <c r="E14" i="3" s="1"/>
  <c r="E12" i="3" a="1"/>
  <c r="E12" i="3" s="1"/>
  <c r="E70" i="3" a="1"/>
  <c r="E70" i="3" s="1"/>
  <c r="E54" i="3" a="1"/>
  <c r="E54" i="3" s="1"/>
  <c r="E38" i="3" a="1"/>
  <c r="E38" i="3" s="1"/>
  <c r="E22" i="3" a="1"/>
  <c r="E22" i="3" s="1"/>
  <c r="E61" i="3" a="1"/>
  <c r="E61" i="3" s="1"/>
  <c r="E53" i="3" a="1"/>
  <c r="E53" i="3" s="1"/>
  <c r="E45" i="3" a="1"/>
  <c r="E45" i="3" s="1"/>
  <c r="E37" i="3" a="1"/>
  <c r="E37" i="3" s="1"/>
  <c r="E29" i="3" a="1"/>
  <c r="E29" i="3" s="1"/>
  <c r="E21" i="3" a="1"/>
  <c r="E21" i="3" s="1"/>
  <c r="E13" i="3" a="1"/>
  <c r="E13" i="3" s="1"/>
  <c r="E69" i="3" a="1"/>
  <c r="E69" i="3" s="1"/>
  <c r="E84" i="3" a="1"/>
  <c r="E84" i="3" s="1"/>
  <c r="E68" i="3" a="1"/>
  <c r="E68" i="3" s="1"/>
  <c r="E52" i="3" a="1"/>
  <c r="E52" i="3" s="1"/>
  <c r="E36" i="3" a="1"/>
  <c r="E36" i="3" s="1"/>
  <c r="E20" i="3" a="1"/>
  <c r="E20" i="3" s="1"/>
  <c r="E77" i="3" a="1"/>
  <c r="E77" i="3" s="1"/>
  <c r="E76" i="3" a="1"/>
  <c r="E76" i="3" s="1"/>
  <c r="E60" i="3" a="1"/>
  <c r="E60" i="3" s="1"/>
  <c r="E44" i="3" a="1"/>
  <c r="E44" i="3" s="1"/>
  <c r="E28" i="3" a="1"/>
  <c r="E28" i="3" s="1"/>
  <c r="E75" i="3" a="1"/>
  <c r="E75" i="3" s="1"/>
  <c r="E59" i="3" a="1"/>
  <c r="E59" i="3" s="1"/>
  <c r="E43" i="3" a="1"/>
  <c r="E43" i="3" s="1"/>
  <c r="E27" i="3" a="1"/>
  <c r="E27" i="3" s="1"/>
  <c r="E11" i="3" a="1"/>
  <c r="E11" i="3" s="1"/>
  <c r="E83" i="3" a="1"/>
  <c r="E83" i="3" s="1"/>
  <c r="E67" i="3" a="1"/>
  <c r="E67" i="3" s="1"/>
  <c r="E51" i="3" a="1"/>
  <c r="E51" i="3" s="1"/>
  <c r="E35" i="3" a="1"/>
  <c r="E35" i="3" s="1"/>
  <c r="E19" i="3" a="1"/>
  <c r="E19" i="3" s="1"/>
  <c r="E82" i="3" a="1"/>
  <c r="E82" i="3" s="1"/>
  <c r="E66" i="3" a="1"/>
  <c r="E66" i="3" s="1"/>
  <c r="E50" i="3" a="1"/>
  <c r="E50" i="3" s="1"/>
  <c r="E34" i="3" a="1"/>
  <c r="E34" i="3" s="1"/>
  <c r="E18" i="3" a="1"/>
  <c r="E18" i="3" s="1"/>
  <c r="E74" i="3" a="1"/>
  <c r="E74" i="3" s="1"/>
  <c r="E58" i="3" a="1"/>
  <c r="E58" i="3" s="1"/>
  <c r="E42" i="3" a="1"/>
  <c r="E42" i="3" s="1"/>
  <c r="E26" i="3" a="1"/>
  <c r="E26" i="3" s="1"/>
  <c r="E10" i="3" a="1"/>
  <c r="E10" i="3" s="1"/>
  <c r="E73" i="3" a="1"/>
  <c r="E73" i="3" s="1"/>
  <c r="E57" i="3" a="1"/>
  <c r="E57" i="3" s="1"/>
  <c r="E41" i="3" a="1"/>
  <c r="E41" i="3" s="1"/>
  <c r="E25" i="3" a="1"/>
  <c r="E25" i="3" s="1"/>
  <c r="E9" i="3" a="1"/>
  <c r="E9" i="3" s="1"/>
  <c r="E81" i="3" a="1"/>
  <c r="E81" i="3" s="1"/>
  <c r="E65" i="3" a="1"/>
  <c r="E65" i="3" s="1"/>
  <c r="E49" i="3" a="1"/>
  <c r="E49" i="3" s="1"/>
  <c r="E33" i="3" a="1"/>
  <c r="E33" i="3" s="1"/>
  <c r="E17" i="3" a="1"/>
  <c r="E17" i="3" s="1"/>
  <c r="E5" i="3" a="1"/>
  <c r="E5" i="3" s="1"/>
  <c r="E72" i="3" a="1"/>
  <c r="E72" i="3" s="1"/>
  <c r="E56" i="3" a="1"/>
  <c r="E56" i="3" s="1"/>
  <c r="E40" i="3" a="1"/>
  <c r="E40" i="3" s="1"/>
  <c r="E24" i="3" a="1"/>
  <c r="E24" i="3" s="1"/>
  <c r="E8" i="3" a="1"/>
  <c r="E8" i="3" s="1"/>
  <c r="E80" i="3" a="1"/>
  <c r="E80" i="3" s="1"/>
  <c r="E64" i="3" a="1"/>
  <c r="E64" i="3" s="1"/>
  <c r="E48" i="3" a="1"/>
  <c r="E48" i="3" s="1"/>
  <c r="E32" i="3" a="1"/>
  <c r="E32" i="3" s="1"/>
  <c r="E16" i="3" a="1"/>
  <c r="E16" i="3" s="1"/>
  <c r="E71" i="3" a="1"/>
  <c r="E71" i="3" s="1"/>
  <c r="E55" i="3" a="1"/>
  <c r="E55" i="3" s="1"/>
  <c r="E39" i="3" a="1"/>
  <c r="E39" i="3" s="1"/>
  <c r="E23" i="3" a="1"/>
  <c r="E23" i="3" s="1"/>
  <c r="E7" i="3" a="1"/>
  <c r="E7" i="3" s="1"/>
  <c r="E79" i="3" a="1"/>
  <c r="E79" i="3" s="1"/>
  <c r="E63" i="3" a="1"/>
  <c r="E63" i="3" s="1"/>
  <c r="E47" i="3" a="1"/>
  <c r="E47" i="3" s="1"/>
  <c r="E31" i="3" a="1"/>
  <c r="E31" i="3" s="1"/>
  <c r="E15" i="3" a="1"/>
  <c r="E15" i="3" s="1"/>
  <c r="E78" i="3" a="1"/>
  <c r="E78" i="3" s="1"/>
  <c r="E62" i="3" a="1"/>
  <c r="E62" i="3" s="1"/>
  <c r="E46" i="3" a="1"/>
  <c r="E46" i="3" s="1"/>
  <c r="E30" i="3" a="1"/>
  <c r="E30" i="3" s="1"/>
  <c r="M23" i="1" a="1"/>
  <c r="O23" i="1" s="1"/>
  <c r="G8" i="1" a="1"/>
  <c r="G10" i="1" s="1"/>
  <c r="H7" i="1" a="1"/>
  <c r="J7" i="1" s="1"/>
  <c r="L19" i="1" a="1"/>
  <c r="L21" i="1" s="1"/>
  <c r="M18" i="1" a="1"/>
  <c r="O18" i="1" s="1"/>
  <c r="C29" i="1"/>
  <c r="D29" i="1"/>
  <c r="E29" i="1"/>
  <c r="C30" i="1"/>
  <c r="D30" i="1"/>
  <c r="E30" i="1"/>
  <c r="C31" i="1"/>
  <c r="D31" i="1"/>
  <c r="E31" i="1"/>
  <c r="C32" i="1"/>
  <c r="D32" i="1"/>
  <c r="E32" i="1"/>
  <c r="C33" i="1"/>
  <c r="D33" i="1"/>
  <c r="E33" i="1"/>
  <c r="C34" i="1"/>
  <c r="D34" i="1"/>
  <c r="E34" i="1"/>
  <c r="C35" i="1"/>
  <c r="D35" i="1"/>
  <c r="E35" i="1"/>
  <c r="C36" i="1"/>
  <c r="D36" i="1"/>
  <c r="E36" i="1"/>
  <c r="C37" i="1"/>
  <c r="D37" i="1"/>
  <c r="E37" i="1"/>
  <c r="C38" i="1"/>
  <c r="D38" i="1"/>
  <c r="E38" i="1"/>
  <c r="C39" i="1"/>
  <c r="D39" i="1"/>
  <c r="E39" i="1"/>
  <c r="C40" i="1"/>
  <c r="D40" i="1"/>
  <c r="E40" i="1"/>
  <c r="C41" i="1"/>
  <c r="D41" i="1"/>
  <c r="E41" i="1"/>
  <c r="C42" i="1"/>
  <c r="D42" i="1"/>
  <c r="E42" i="1"/>
  <c r="C43" i="1"/>
  <c r="D43" i="1"/>
  <c r="E43" i="1"/>
  <c r="C44" i="1"/>
  <c r="D44" i="1"/>
  <c r="E44" i="1"/>
  <c r="C45" i="1"/>
  <c r="D45" i="1"/>
  <c r="E45" i="1"/>
  <c r="C46" i="1"/>
  <c r="D46" i="1"/>
  <c r="E46" i="1"/>
  <c r="C47" i="1"/>
  <c r="D47" i="1"/>
  <c r="E47" i="1"/>
  <c r="C48" i="1"/>
  <c r="D48" i="1"/>
  <c r="E48" i="1"/>
  <c r="C49" i="1"/>
  <c r="D49" i="1"/>
  <c r="E49" i="1"/>
  <c r="C50" i="1"/>
  <c r="D50" i="1"/>
  <c r="E50" i="1"/>
  <c r="C51" i="1"/>
  <c r="D51" i="1"/>
  <c r="E51" i="1"/>
  <c r="C52" i="1"/>
  <c r="D52" i="1"/>
  <c r="E52" i="1"/>
  <c r="C53" i="1"/>
  <c r="D53" i="1"/>
  <c r="E53" i="1"/>
  <c r="C54" i="1"/>
  <c r="D54" i="1"/>
  <c r="E54" i="1"/>
  <c r="C55" i="1"/>
  <c r="D55" i="1"/>
  <c r="E55" i="1"/>
  <c r="C56" i="1"/>
  <c r="D56" i="1"/>
  <c r="E56" i="1"/>
  <c r="C57" i="1"/>
  <c r="D57" i="1"/>
  <c r="E57" i="1"/>
  <c r="C58" i="1"/>
  <c r="D58" i="1"/>
  <c r="E58" i="1"/>
  <c r="C59" i="1"/>
  <c r="D59" i="1"/>
  <c r="E59" i="1"/>
  <c r="C60" i="1"/>
  <c r="D60" i="1"/>
  <c r="E60" i="1"/>
  <c r="C61" i="1"/>
  <c r="D61" i="1"/>
  <c r="E61" i="1"/>
  <c r="C62" i="1"/>
  <c r="D62" i="1"/>
  <c r="E62" i="1"/>
  <c r="C63" i="1"/>
  <c r="D63" i="1"/>
  <c r="E63" i="1"/>
  <c r="C64" i="1"/>
  <c r="D64" i="1"/>
  <c r="E64" i="1"/>
  <c r="C65" i="1"/>
  <c r="D65" i="1"/>
  <c r="E65" i="1"/>
  <c r="C66" i="1"/>
  <c r="D66" i="1"/>
  <c r="E66" i="1"/>
  <c r="C67" i="1"/>
  <c r="D67" i="1"/>
  <c r="E67" i="1"/>
  <c r="C68" i="1"/>
  <c r="D68" i="1"/>
  <c r="E68" i="1"/>
  <c r="C69" i="1"/>
  <c r="D69" i="1"/>
  <c r="E69" i="1"/>
  <c r="C70" i="1"/>
  <c r="D70" i="1"/>
  <c r="E70" i="1"/>
  <c r="C71" i="1"/>
  <c r="D71" i="1"/>
  <c r="E71" i="1"/>
  <c r="C72" i="1"/>
  <c r="D72" i="1"/>
  <c r="E72" i="1"/>
  <c r="C73" i="1"/>
  <c r="D73" i="1"/>
  <c r="E73" i="1"/>
  <c r="C74" i="1"/>
  <c r="D74" i="1"/>
  <c r="E74" i="1"/>
  <c r="C75" i="1"/>
  <c r="D75" i="1"/>
  <c r="E75" i="1"/>
  <c r="C76" i="1"/>
  <c r="D76" i="1"/>
  <c r="E76" i="1"/>
  <c r="C77" i="1"/>
  <c r="D77" i="1"/>
  <c r="E77" i="1"/>
  <c r="C78" i="1"/>
  <c r="D78" i="1"/>
  <c r="E78" i="1"/>
  <c r="C79" i="1"/>
  <c r="D79" i="1"/>
  <c r="E79" i="1"/>
  <c r="C80" i="1"/>
  <c r="D80" i="1"/>
  <c r="E80" i="1"/>
  <c r="C81" i="1"/>
  <c r="D81" i="1"/>
  <c r="E81" i="1"/>
  <c r="C82" i="1"/>
  <c r="D82" i="1"/>
  <c r="E82" i="1"/>
  <c r="C83" i="1"/>
  <c r="D83" i="1"/>
  <c r="E83" i="1"/>
  <c r="C84" i="1"/>
  <c r="D84" i="1"/>
  <c r="E84" i="1"/>
  <c r="C85" i="1"/>
  <c r="D85" i="1"/>
  <c r="E85" i="1"/>
  <c r="C86" i="1"/>
  <c r="D86" i="1"/>
  <c r="E86" i="1"/>
  <c r="C87" i="1"/>
  <c r="D87" i="1"/>
  <c r="E87" i="1"/>
  <c r="C88" i="1"/>
  <c r="D88" i="1"/>
  <c r="E88" i="1"/>
  <c r="C89" i="1"/>
  <c r="D89" i="1"/>
  <c r="E89" i="1"/>
  <c r="C90" i="1"/>
  <c r="D90" i="1"/>
  <c r="E90" i="1"/>
  <c r="C91" i="1"/>
  <c r="D91" i="1"/>
  <c r="E91" i="1"/>
  <c r="C92" i="1"/>
  <c r="D92" i="1"/>
  <c r="E92" i="1"/>
  <c r="C93" i="1"/>
  <c r="D93" i="1"/>
  <c r="E93" i="1"/>
  <c r="C94" i="1"/>
  <c r="D94" i="1"/>
  <c r="E94" i="1"/>
  <c r="C95" i="1"/>
  <c r="D95" i="1"/>
  <c r="E95" i="1"/>
  <c r="C96" i="1"/>
  <c r="D96" i="1"/>
  <c r="E96" i="1"/>
  <c r="C97" i="1"/>
  <c r="D97" i="1"/>
  <c r="E97" i="1"/>
  <c r="C98" i="1"/>
  <c r="D98" i="1"/>
  <c r="E98" i="1"/>
  <c r="C99" i="1"/>
  <c r="D99" i="1"/>
  <c r="E99" i="1"/>
  <c r="C100" i="1"/>
  <c r="D100" i="1"/>
  <c r="E100" i="1"/>
  <c r="C101" i="1"/>
  <c r="D101" i="1"/>
  <c r="E101" i="1"/>
  <c r="C102" i="1"/>
  <c r="D102" i="1"/>
  <c r="E102" i="1"/>
  <c r="C103" i="1"/>
  <c r="D103" i="1"/>
  <c r="E103" i="1"/>
  <c r="C104" i="1"/>
  <c r="D104" i="1"/>
  <c r="E104" i="1"/>
  <c r="C105" i="1"/>
  <c r="D105" i="1"/>
  <c r="E105" i="1"/>
  <c r="C106" i="1"/>
  <c r="D106" i="1"/>
  <c r="E106" i="1"/>
  <c r="C107" i="1"/>
  <c r="D107" i="1"/>
  <c r="E107" i="1"/>
  <c r="C108" i="1"/>
  <c r="D108" i="1"/>
  <c r="E108" i="1"/>
  <c r="C109" i="1"/>
  <c r="D109" i="1"/>
  <c r="E109" i="1"/>
  <c r="C110" i="1"/>
  <c r="D110" i="1"/>
  <c r="E110" i="1"/>
  <c r="C111" i="1"/>
  <c r="D111" i="1"/>
  <c r="E111" i="1"/>
  <c r="C112" i="1"/>
  <c r="D112" i="1"/>
  <c r="E112" i="1"/>
  <c r="C113" i="1"/>
  <c r="D113" i="1"/>
  <c r="E113" i="1"/>
  <c r="C114" i="1"/>
  <c r="D114" i="1"/>
  <c r="E114" i="1"/>
  <c r="C115" i="1"/>
  <c r="D115" i="1"/>
  <c r="E115" i="1"/>
  <c r="C116" i="1"/>
  <c r="D116" i="1"/>
  <c r="E116" i="1"/>
  <c r="C117" i="1"/>
  <c r="D117" i="1"/>
  <c r="E117" i="1"/>
  <c r="C118" i="1"/>
  <c r="D118" i="1"/>
  <c r="E118" i="1"/>
  <c r="C119" i="1"/>
  <c r="D119" i="1"/>
  <c r="E119" i="1"/>
  <c r="C120" i="1"/>
  <c r="D120" i="1"/>
  <c r="E120" i="1"/>
  <c r="C121" i="1"/>
  <c r="D121" i="1"/>
  <c r="E121" i="1"/>
  <c r="C122" i="1"/>
  <c r="D122" i="1"/>
  <c r="E122" i="1"/>
  <c r="C123" i="1"/>
  <c r="D123" i="1"/>
  <c r="E123" i="1"/>
  <c r="C124" i="1"/>
  <c r="D124" i="1"/>
  <c r="E124" i="1"/>
  <c r="C125" i="1"/>
  <c r="D125" i="1"/>
  <c r="E125" i="1"/>
  <c r="C126" i="1"/>
  <c r="D126" i="1"/>
  <c r="E126" i="1"/>
  <c r="C127" i="1"/>
  <c r="D127" i="1"/>
  <c r="E127" i="1"/>
  <c r="D28" i="1"/>
  <c r="E28" i="1"/>
  <c r="C28" i="1"/>
  <c r="B8" i="1" a="1"/>
  <c r="B8" i="1" s="1"/>
  <c r="C7" i="1" a="1"/>
  <c r="C7" i="1" s="1"/>
  <c r="M18" i="1"/>
  <c r="N18" i="1"/>
  <c r="L19" i="1"/>
  <c r="L20" i="1"/>
  <c r="C13" i="1" a="1"/>
  <c r="H8" i="1" a="1"/>
  <c r="D7" i="1" l="1"/>
  <c r="M23" i="1"/>
  <c r="G9" i="1"/>
  <c r="G8" i="1"/>
  <c r="I7" i="1"/>
  <c r="H7" i="1"/>
  <c r="N23" i="1"/>
  <c r="E7" i="1"/>
  <c r="C25" i="1"/>
  <c r="D25" i="1"/>
  <c r="H8" i="1"/>
  <c r="J9" i="1"/>
  <c r="I8" i="1"/>
  <c r="H9" i="1"/>
  <c r="I10" i="1"/>
  <c r="I9" i="1"/>
  <c r="J10" i="1"/>
  <c r="D15" i="1"/>
  <c r="E13" i="1"/>
  <c r="D13" i="1"/>
  <c r="D20" i="1"/>
  <c r="D24" i="1"/>
  <c r="C20" i="1"/>
  <c r="C24" i="1"/>
  <c r="D19" i="1"/>
  <c r="C19" i="1"/>
  <c r="C21" i="1"/>
  <c r="E19" i="1"/>
  <c r="E21" i="1"/>
  <c r="E24" i="1"/>
  <c r="E20" i="1"/>
  <c r="D21" i="1"/>
  <c r="E25" i="1"/>
  <c r="B10" i="1"/>
  <c r="B9" i="1"/>
  <c r="D14" i="1"/>
  <c r="C15" i="1"/>
  <c r="E15" i="1"/>
  <c r="C14" i="1"/>
  <c r="E14" i="1"/>
  <c r="C13" i="1"/>
  <c r="H10" i="1"/>
  <c r="J8" i="1"/>
  <c r="H13" i="1" a="1"/>
  <c r="I13" i="1" l="1"/>
  <c r="J13" i="1"/>
  <c r="J15" i="1"/>
  <c r="H15" i="1"/>
  <c r="I14" i="1"/>
  <c r="J14" i="1"/>
  <c r="H13" i="1"/>
  <c r="H46" i="1" s="1" a="1"/>
  <c r="I15" i="1"/>
  <c r="H14" i="1"/>
  <c r="H99" i="1" a="1"/>
  <c r="H59" i="1" a="1"/>
  <c r="H109" i="1" a="1"/>
  <c r="H56" i="1" l="1" a="1"/>
  <c r="I56" i="1" s="1"/>
  <c r="N56" i="1" s="1"/>
  <c r="H88" i="1" a="1"/>
  <c r="I88" i="1" s="1"/>
  <c r="N88" i="1" s="1"/>
  <c r="H124" i="1" a="1"/>
  <c r="J124" i="1" s="1"/>
  <c r="O124" i="1" s="1"/>
  <c r="H74" i="1" a="1"/>
  <c r="I74" i="1" s="1"/>
  <c r="N74" i="1" s="1"/>
  <c r="H76" i="1" a="1"/>
  <c r="J76" i="1" s="1"/>
  <c r="O76" i="1" s="1"/>
  <c r="H78" i="1" a="1"/>
  <c r="I78" i="1" s="1"/>
  <c r="N78" i="1" s="1"/>
  <c r="H120" i="1" a="1"/>
  <c r="I120" i="1" s="1"/>
  <c r="N120" i="1" s="1"/>
  <c r="H54" i="1" a="1"/>
  <c r="I54" i="1" s="1"/>
  <c r="N54" i="1" s="1"/>
  <c r="H85" i="1" a="1"/>
  <c r="H85" i="1" s="1"/>
  <c r="M85" i="1" s="1"/>
  <c r="H29" i="1" a="1"/>
  <c r="J29" i="1" s="1"/>
  <c r="O29" i="1" s="1"/>
  <c r="H35" i="1" a="1"/>
  <c r="I35" i="1" s="1"/>
  <c r="N35" i="1" s="1"/>
  <c r="H96" i="1" a="1"/>
  <c r="J96" i="1" s="1"/>
  <c r="O96" i="1" s="1"/>
  <c r="H95" i="1" a="1"/>
  <c r="H95" i="1" s="1"/>
  <c r="M95" i="1" s="1"/>
  <c r="H93" i="1" a="1"/>
  <c r="H93" i="1" s="1"/>
  <c r="M93" i="1" s="1"/>
  <c r="H61" i="1" a="1"/>
  <c r="H61" i="1" s="1"/>
  <c r="M61" i="1" s="1"/>
  <c r="H83" i="1" a="1"/>
  <c r="H83" i="1" s="1"/>
  <c r="M83" i="1" s="1"/>
  <c r="H102" i="1" a="1"/>
  <c r="H102" i="1" s="1"/>
  <c r="M102" i="1" s="1"/>
  <c r="H63" i="1" a="1"/>
  <c r="I63" i="1" s="1"/>
  <c r="N63" i="1" s="1"/>
  <c r="H80" i="1" a="1"/>
  <c r="J80" i="1" s="1"/>
  <c r="O80" i="1" s="1"/>
  <c r="H87" i="1" a="1"/>
  <c r="I87" i="1" s="1"/>
  <c r="N87" i="1" s="1"/>
  <c r="H69" i="1" a="1"/>
  <c r="I69" i="1" s="1"/>
  <c r="N69" i="1" s="1"/>
  <c r="H79" i="1" a="1"/>
  <c r="J79" i="1" s="1"/>
  <c r="O79" i="1" s="1"/>
  <c r="H70" i="1" a="1"/>
  <c r="I70" i="1" s="1"/>
  <c r="N70" i="1" s="1"/>
  <c r="H53" i="1" a="1"/>
  <c r="H53" i="1" s="1"/>
  <c r="M53" i="1" s="1"/>
  <c r="H55" i="1" a="1"/>
  <c r="J55" i="1" s="1"/>
  <c r="O55" i="1" s="1"/>
  <c r="H101" i="1" a="1"/>
  <c r="I101" i="1" s="1"/>
  <c r="N101" i="1" s="1"/>
  <c r="H48" i="1" a="1"/>
  <c r="J48" i="1" s="1"/>
  <c r="O48" i="1" s="1"/>
  <c r="H107" i="1" a="1"/>
  <c r="I107" i="1" s="1"/>
  <c r="N107" i="1" s="1"/>
  <c r="H50" i="1" a="1"/>
  <c r="H50" i="1" s="1"/>
  <c r="M50" i="1" s="1"/>
  <c r="H33" i="1" a="1"/>
  <c r="I33" i="1" s="1"/>
  <c r="N33" i="1" s="1"/>
  <c r="H98" i="1" a="1"/>
  <c r="H98" i="1" s="1"/>
  <c r="M98" i="1" s="1"/>
  <c r="H90" i="1" a="1"/>
  <c r="H90" i="1" s="1"/>
  <c r="M90" i="1" s="1"/>
  <c r="H84" i="1" a="1"/>
  <c r="J84" i="1" s="1"/>
  <c r="O84" i="1" s="1"/>
  <c r="H30" i="1" a="1"/>
  <c r="I30" i="1" s="1"/>
  <c r="N30" i="1" s="1"/>
  <c r="H66" i="1" a="1"/>
  <c r="H66" i="1" s="1"/>
  <c r="M66" i="1" s="1"/>
  <c r="H91" i="1" a="1"/>
  <c r="H91" i="1" s="1"/>
  <c r="M91" i="1" s="1"/>
  <c r="H51" i="1" a="1"/>
  <c r="I51" i="1" s="1"/>
  <c r="N51" i="1" s="1"/>
  <c r="H111" i="1" a="1"/>
  <c r="J111" i="1" s="1"/>
  <c r="O111" i="1" s="1"/>
  <c r="H123" i="1" a="1"/>
  <c r="J123" i="1" s="1"/>
  <c r="O123" i="1" s="1"/>
  <c r="H92" i="1" a="1"/>
  <c r="H92" i="1" s="1"/>
  <c r="M92" i="1" s="1"/>
  <c r="H119" i="1" a="1"/>
  <c r="H119" i="1" s="1"/>
  <c r="M119" i="1" s="1"/>
  <c r="H125" i="1" a="1"/>
  <c r="H125" i="1" s="1"/>
  <c r="M125" i="1" s="1"/>
  <c r="H114" i="1" a="1"/>
  <c r="H114" i="1" s="1"/>
  <c r="M114" i="1" s="1"/>
  <c r="H127" i="1" a="1"/>
  <c r="J127" i="1" s="1"/>
  <c r="O127" i="1" s="1"/>
  <c r="H81" i="1" a="1"/>
  <c r="H81" i="1" s="1"/>
  <c r="M81" i="1" s="1"/>
  <c r="H40" i="1" a="1"/>
  <c r="J40" i="1" s="1"/>
  <c r="O40" i="1" s="1"/>
  <c r="H41" i="1" a="1"/>
  <c r="J41" i="1" s="1"/>
  <c r="O41" i="1" s="1"/>
  <c r="H73" i="1" a="1"/>
  <c r="J73" i="1" s="1"/>
  <c r="O73" i="1" s="1"/>
  <c r="H60" i="1" a="1"/>
  <c r="J60" i="1" s="1"/>
  <c r="O60" i="1" s="1"/>
  <c r="H108" i="1" a="1"/>
  <c r="I108" i="1" s="1"/>
  <c r="N108" i="1" s="1"/>
  <c r="H126" i="1" a="1"/>
  <c r="J126" i="1" s="1"/>
  <c r="O126" i="1" s="1"/>
  <c r="H77" i="1" a="1"/>
  <c r="J77" i="1" s="1"/>
  <c r="O77" i="1" s="1"/>
  <c r="H113" i="1" a="1"/>
  <c r="I113" i="1" s="1"/>
  <c r="N113" i="1" s="1"/>
  <c r="H52" i="1" a="1"/>
  <c r="I52" i="1" s="1"/>
  <c r="N52" i="1" s="1"/>
  <c r="H42" i="1" a="1"/>
  <c r="I42" i="1" s="1"/>
  <c r="N42" i="1" s="1"/>
  <c r="H47" i="1" a="1"/>
  <c r="H47" i="1" s="1"/>
  <c r="M47" i="1" s="1"/>
  <c r="H39" i="1" a="1"/>
  <c r="I39" i="1" s="1"/>
  <c r="N39" i="1" s="1"/>
  <c r="H97" i="1" a="1"/>
  <c r="H97" i="1" s="1"/>
  <c r="M97" i="1" s="1"/>
  <c r="H28" i="1" a="1"/>
  <c r="H28" i="1" s="1"/>
  <c r="H121" i="1" a="1"/>
  <c r="H121" i="1" s="1"/>
  <c r="M121" i="1" s="1"/>
  <c r="H62" i="1" a="1"/>
  <c r="I62" i="1" s="1"/>
  <c r="N62" i="1" s="1"/>
  <c r="H117" i="1" a="1"/>
  <c r="H117" i="1" s="1"/>
  <c r="M117" i="1" s="1"/>
  <c r="H86" i="1" a="1"/>
  <c r="J86" i="1" s="1"/>
  <c r="O86" i="1" s="1"/>
  <c r="H116" i="1" a="1"/>
  <c r="J116" i="1" s="1"/>
  <c r="O116" i="1" s="1"/>
  <c r="H94" i="1" a="1"/>
  <c r="J94" i="1" s="1"/>
  <c r="O94" i="1" s="1"/>
  <c r="H75" i="1" a="1"/>
  <c r="J75" i="1" s="1"/>
  <c r="O75" i="1" s="1"/>
  <c r="H122" i="1" a="1"/>
  <c r="H122" i="1" s="1"/>
  <c r="M122" i="1" s="1"/>
  <c r="H64" i="1" a="1"/>
  <c r="I64" i="1" s="1"/>
  <c r="N64" i="1" s="1"/>
  <c r="H118" i="1" a="1"/>
  <c r="H118" i="1" s="1"/>
  <c r="M118" i="1" s="1"/>
  <c r="H45" i="1" a="1"/>
  <c r="I45" i="1" s="1"/>
  <c r="N45" i="1" s="1"/>
  <c r="H34" i="1" a="1"/>
  <c r="I34" i="1" s="1"/>
  <c r="N34" i="1" s="1"/>
  <c r="H105" i="1" a="1"/>
  <c r="I105" i="1" s="1"/>
  <c r="N105" i="1" s="1"/>
  <c r="H68" i="1" a="1"/>
  <c r="J68" i="1" s="1"/>
  <c r="O68" i="1" s="1"/>
  <c r="H31" i="1" a="1"/>
  <c r="I31" i="1" s="1"/>
  <c r="N31" i="1" s="1"/>
  <c r="H115" i="1" a="1"/>
  <c r="H115" i="1" s="1"/>
  <c r="M115" i="1" s="1"/>
  <c r="H44" i="1" a="1"/>
  <c r="H44" i="1" s="1"/>
  <c r="M44" i="1" s="1"/>
  <c r="H49" i="1" a="1"/>
  <c r="J49" i="1" s="1"/>
  <c r="O49" i="1" s="1"/>
  <c r="H43" i="1" a="1"/>
  <c r="H43" i="1" s="1"/>
  <c r="M43" i="1" s="1"/>
  <c r="H36" i="1" a="1"/>
  <c r="J36" i="1" s="1"/>
  <c r="O36" i="1" s="1"/>
  <c r="H65" i="1" a="1"/>
  <c r="J65" i="1" s="1"/>
  <c r="O65" i="1" s="1"/>
  <c r="H32" i="1" a="1"/>
  <c r="J32" i="1" s="1"/>
  <c r="O32" i="1" s="1"/>
  <c r="H67" i="1" a="1"/>
  <c r="H67" i="1" s="1"/>
  <c r="M67" i="1" s="1"/>
  <c r="H106" i="1" a="1"/>
  <c r="J106" i="1" s="1"/>
  <c r="O106" i="1" s="1"/>
  <c r="H89" i="1" a="1"/>
  <c r="H89" i="1" s="1"/>
  <c r="M89" i="1" s="1"/>
  <c r="H57" i="1" a="1"/>
  <c r="J57" i="1" s="1"/>
  <c r="O57" i="1" s="1"/>
  <c r="H112" i="1" a="1"/>
  <c r="J112" i="1" s="1"/>
  <c r="O112" i="1" s="1"/>
  <c r="H58" i="1" a="1"/>
  <c r="I58" i="1" s="1"/>
  <c r="N58" i="1" s="1"/>
  <c r="H71" i="1" a="1"/>
  <c r="J71" i="1" s="1"/>
  <c r="O71" i="1" s="1"/>
  <c r="H100" i="1" a="1"/>
  <c r="I100" i="1" s="1"/>
  <c r="N100" i="1" s="1"/>
  <c r="H103" i="1" a="1"/>
  <c r="J103" i="1" s="1"/>
  <c r="O103" i="1" s="1"/>
  <c r="H110" i="1" a="1"/>
  <c r="H110" i="1" s="1"/>
  <c r="M110" i="1" s="1"/>
  <c r="H38" i="1" a="1"/>
  <c r="H38" i="1" s="1"/>
  <c r="M38" i="1" s="1"/>
  <c r="H37" i="1" a="1"/>
  <c r="J37" i="1" s="1"/>
  <c r="O37" i="1" s="1"/>
  <c r="H104" i="1" a="1"/>
  <c r="J104" i="1" s="1"/>
  <c r="O104" i="1" s="1"/>
  <c r="H82" i="1" a="1"/>
  <c r="J82" i="1" s="1"/>
  <c r="O82" i="1" s="1"/>
  <c r="H72" i="1" a="1"/>
  <c r="J72" i="1" s="1"/>
  <c r="O72" i="1" s="1"/>
  <c r="J46" i="1"/>
  <c r="O46" i="1" s="1"/>
  <c r="I46" i="1"/>
  <c r="N46" i="1" s="1"/>
  <c r="H46" i="1"/>
  <c r="M46" i="1" s="1"/>
  <c r="H59" i="1"/>
  <c r="M59" i="1" s="1"/>
  <c r="J59" i="1"/>
  <c r="O59" i="1" s="1"/>
  <c r="I59" i="1"/>
  <c r="N59" i="1" s="1"/>
  <c r="I99" i="1"/>
  <c r="N99" i="1" s="1"/>
  <c r="H99" i="1"/>
  <c r="M99" i="1" s="1"/>
  <c r="J99" i="1"/>
  <c r="O99" i="1" s="1"/>
  <c r="J109" i="1"/>
  <c r="O109" i="1" s="1"/>
  <c r="H109" i="1"/>
  <c r="M109" i="1" s="1"/>
  <c r="I109" i="1"/>
  <c r="N109" i="1" s="1"/>
  <c r="I124" i="1" l="1"/>
  <c r="N124" i="1" s="1"/>
  <c r="J88" i="1"/>
  <c r="O88" i="1" s="1"/>
  <c r="H124" i="1"/>
  <c r="M124" i="1" s="1"/>
  <c r="B101" i="2" s="1"/>
  <c r="H88" i="1"/>
  <c r="M88" i="1" s="1"/>
  <c r="B65" i="2" s="1"/>
  <c r="B58" i="2"/>
  <c r="B27" i="2"/>
  <c r="B72" i="2"/>
  <c r="B15" i="2"/>
  <c r="B21" i="2"/>
  <c r="B98" i="2"/>
  <c r="B67" i="2"/>
  <c r="B87" i="2"/>
  <c r="B92" i="2"/>
  <c r="B91" i="2"/>
  <c r="B86" i="2"/>
  <c r="B74" i="2"/>
  <c r="B102" i="2"/>
  <c r="B94" i="2"/>
  <c r="B96" i="2"/>
  <c r="B62" i="2"/>
  <c r="B75" i="2"/>
  <c r="H56" i="1"/>
  <c r="M56" i="1" s="1"/>
  <c r="J56" i="1"/>
  <c r="O56" i="1" s="1"/>
  <c r="B24" i="2"/>
  <c r="B69" i="2"/>
  <c r="B30" i="2"/>
  <c r="B76" i="2"/>
  <c r="B60" i="2"/>
  <c r="B70" i="2"/>
  <c r="B20" i="2"/>
  <c r="B95" i="2"/>
  <c r="B79" i="2"/>
  <c r="B38" i="2"/>
  <c r="B36" i="2"/>
  <c r="B66" i="2"/>
  <c r="B68" i="2"/>
  <c r="B23" i="2"/>
  <c r="B99" i="2"/>
  <c r="B43" i="2"/>
  <c r="B44" i="2"/>
  <c r="J69" i="1"/>
  <c r="O69" i="1" s="1"/>
  <c r="H76" i="1"/>
  <c r="M76" i="1" s="1"/>
  <c r="J113" i="1"/>
  <c r="O113" i="1" s="1"/>
  <c r="J81" i="1"/>
  <c r="O81" i="1" s="1"/>
  <c r="J91" i="1"/>
  <c r="O91" i="1" s="1"/>
  <c r="J90" i="1"/>
  <c r="O90" i="1" s="1"/>
  <c r="I90" i="1"/>
  <c r="N90" i="1" s="1"/>
  <c r="I91" i="1"/>
  <c r="N91" i="1" s="1"/>
  <c r="I81" i="1"/>
  <c r="N81" i="1" s="1"/>
  <c r="I95" i="1"/>
  <c r="N95" i="1" s="1"/>
  <c r="H40" i="1"/>
  <c r="M40" i="1" s="1"/>
  <c r="I49" i="1"/>
  <c r="N49" i="1" s="1"/>
  <c r="I40" i="1"/>
  <c r="N40" i="1" s="1"/>
  <c r="H49" i="1"/>
  <c r="M49" i="1" s="1"/>
  <c r="J87" i="1"/>
  <c r="O87" i="1" s="1"/>
  <c r="J107" i="1"/>
  <c r="O107" i="1" s="1"/>
  <c r="I127" i="1"/>
  <c r="N127" i="1" s="1"/>
  <c r="J117" i="1"/>
  <c r="O117" i="1" s="1"/>
  <c r="J54" i="1"/>
  <c r="O54" i="1" s="1"/>
  <c r="J85" i="1"/>
  <c r="O85" i="1" s="1"/>
  <c r="I85" i="1"/>
  <c r="N85" i="1" s="1"/>
  <c r="J53" i="1"/>
  <c r="O53" i="1" s="1"/>
  <c r="H108" i="1"/>
  <c r="M108" i="1" s="1"/>
  <c r="I53" i="1"/>
  <c r="N53" i="1" s="1"/>
  <c r="J108" i="1"/>
  <c r="O108" i="1" s="1"/>
  <c r="H87" i="1"/>
  <c r="M87" i="1" s="1"/>
  <c r="H55" i="1"/>
  <c r="M55" i="1" s="1"/>
  <c r="H101" i="1"/>
  <c r="M101" i="1" s="1"/>
  <c r="J74" i="1"/>
  <c r="O74" i="1" s="1"/>
  <c r="J47" i="1"/>
  <c r="O47" i="1" s="1"/>
  <c r="H96" i="1"/>
  <c r="M96" i="1" s="1"/>
  <c r="I115" i="1"/>
  <c r="N115" i="1" s="1"/>
  <c r="J50" i="1"/>
  <c r="O50" i="1" s="1"/>
  <c r="J93" i="1"/>
  <c r="O93" i="1" s="1"/>
  <c r="J101" i="1"/>
  <c r="O101" i="1" s="1"/>
  <c r="H74" i="1"/>
  <c r="M74" i="1" s="1"/>
  <c r="I47" i="1"/>
  <c r="N47" i="1" s="1"/>
  <c r="H126" i="1"/>
  <c r="M126" i="1" s="1"/>
  <c r="H107" i="1"/>
  <c r="M107" i="1" s="1"/>
  <c r="H48" i="1"/>
  <c r="M48" i="1" s="1"/>
  <c r="I96" i="1"/>
  <c r="N96" i="1" s="1"/>
  <c r="H127" i="1"/>
  <c r="M127" i="1" s="1"/>
  <c r="I48" i="1"/>
  <c r="N48" i="1" s="1"/>
  <c r="J95" i="1"/>
  <c r="O95" i="1" s="1"/>
  <c r="J58" i="1"/>
  <c r="O58" i="1" s="1"/>
  <c r="J115" i="1"/>
  <c r="O115" i="1" s="1"/>
  <c r="I80" i="1"/>
  <c r="N80" i="1" s="1"/>
  <c r="J98" i="1"/>
  <c r="O98" i="1" s="1"/>
  <c r="I98" i="1"/>
  <c r="N98" i="1" s="1"/>
  <c r="J102" i="1"/>
  <c r="O102" i="1" s="1"/>
  <c r="H86" i="1"/>
  <c r="M86" i="1" s="1"/>
  <c r="J114" i="1"/>
  <c r="O114" i="1" s="1"/>
  <c r="I29" i="1"/>
  <c r="N29" i="1" s="1"/>
  <c r="H69" i="1"/>
  <c r="M69" i="1" s="1"/>
  <c r="I79" i="1"/>
  <c r="N79" i="1" s="1"/>
  <c r="J35" i="1"/>
  <c r="O35" i="1" s="1"/>
  <c r="H29" i="1"/>
  <c r="M29" i="1" s="1"/>
  <c r="H35" i="1"/>
  <c r="M35" i="1" s="1"/>
  <c r="I114" i="1"/>
  <c r="N114" i="1" s="1"/>
  <c r="H79" i="1"/>
  <c r="M79" i="1" s="1"/>
  <c r="I76" i="1"/>
  <c r="N76" i="1" s="1"/>
  <c r="I121" i="1"/>
  <c r="N121" i="1" s="1"/>
  <c r="I111" i="1"/>
  <c r="N111" i="1" s="1"/>
  <c r="I125" i="1"/>
  <c r="N125" i="1" s="1"/>
  <c r="J121" i="1"/>
  <c r="O121" i="1" s="1"/>
  <c r="H78" i="1"/>
  <c r="M78" i="1" s="1"/>
  <c r="J43" i="1"/>
  <c r="O43" i="1" s="1"/>
  <c r="H77" i="1"/>
  <c r="M77" i="1" s="1"/>
  <c r="I126" i="1"/>
  <c r="N126" i="1" s="1"/>
  <c r="J34" i="1"/>
  <c r="O34" i="1" s="1"/>
  <c r="J92" i="1"/>
  <c r="O92" i="1" s="1"/>
  <c r="H54" i="1"/>
  <c r="M54" i="1" s="1"/>
  <c r="I55" i="1"/>
  <c r="N55" i="1" s="1"/>
  <c r="H123" i="1"/>
  <c r="M123" i="1" s="1"/>
  <c r="H34" i="1"/>
  <c r="M34" i="1" s="1"/>
  <c r="I92" i="1"/>
  <c r="N92" i="1" s="1"/>
  <c r="I103" i="1"/>
  <c r="N103" i="1" s="1"/>
  <c r="J78" i="1"/>
  <c r="O78" i="1" s="1"/>
  <c r="I119" i="1"/>
  <c r="N119" i="1" s="1"/>
  <c r="I123" i="1"/>
  <c r="N123" i="1" s="1"/>
  <c r="H30" i="1"/>
  <c r="M30" i="1" s="1"/>
  <c r="H103" i="1"/>
  <c r="M103" i="1" s="1"/>
  <c r="J119" i="1"/>
  <c r="O119" i="1" s="1"/>
  <c r="J120" i="1"/>
  <c r="O120" i="1" s="1"/>
  <c r="H120" i="1"/>
  <c r="M120" i="1" s="1"/>
  <c r="J70" i="1"/>
  <c r="O70" i="1" s="1"/>
  <c r="H51" i="1"/>
  <c r="M51" i="1" s="1"/>
  <c r="I44" i="1"/>
  <c r="N44" i="1" s="1"/>
  <c r="H113" i="1"/>
  <c r="M113" i="1" s="1"/>
  <c r="H70" i="1"/>
  <c r="M70" i="1" s="1"/>
  <c r="J51" i="1"/>
  <c r="O51" i="1" s="1"/>
  <c r="J105" i="1"/>
  <c r="O105" i="1" s="1"/>
  <c r="H111" i="1"/>
  <c r="M111" i="1" s="1"/>
  <c r="H52" i="1"/>
  <c r="M52" i="1" s="1"/>
  <c r="H105" i="1"/>
  <c r="M105" i="1" s="1"/>
  <c r="J125" i="1"/>
  <c r="O125" i="1" s="1"/>
  <c r="I117" i="1"/>
  <c r="N117" i="1" s="1"/>
  <c r="I77" i="1"/>
  <c r="N77" i="1" s="1"/>
  <c r="I110" i="1"/>
  <c r="N110" i="1" s="1"/>
  <c r="J66" i="1"/>
  <c r="O66" i="1" s="1"/>
  <c r="H63" i="1"/>
  <c r="M63" i="1" s="1"/>
  <c r="I50" i="1"/>
  <c r="N50" i="1" s="1"/>
  <c r="I93" i="1"/>
  <c r="N93" i="1" s="1"/>
  <c r="I61" i="1"/>
  <c r="N61" i="1" s="1"/>
  <c r="H68" i="1"/>
  <c r="M68" i="1" s="1"/>
  <c r="H41" i="1"/>
  <c r="M41" i="1" s="1"/>
  <c r="I83" i="1"/>
  <c r="N83" i="1" s="1"/>
  <c r="H33" i="1"/>
  <c r="M33" i="1" s="1"/>
  <c r="J31" i="1"/>
  <c r="O31" i="1" s="1"/>
  <c r="I86" i="1"/>
  <c r="N86" i="1" s="1"/>
  <c r="I82" i="1"/>
  <c r="N82" i="1" s="1"/>
  <c r="I68" i="1"/>
  <c r="N68" i="1" s="1"/>
  <c r="J83" i="1"/>
  <c r="O83" i="1" s="1"/>
  <c r="J33" i="1"/>
  <c r="O33" i="1" s="1"/>
  <c r="J39" i="1"/>
  <c r="O39" i="1" s="1"/>
  <c r="J63" i="1"/>
  <c r="O63" i="1" s="1"/>
  <c r="H82" i="1"/>
  <c r="M82" i="1" s="1"/>
  <c r="I66" i="1"/>
  <c r="N66" i="1" s="1"/>
  <c r="I102" i="1"/>
  <c r="N102" i="1" s="1"/>
  <c r="I116" i="1"/>
  <c r="N116" i="1" s="1"/>
  <c r="J61" i="1"/>
  <c r="O61" i="1" s="1"/>
  <c r="I65" i="1"/>
  <c r="N65" i="1" s="1"/>
  <c r="I84" i="1"/>
  <c r="N84" i="1" s="1"/>
  <c r="H75" i="1"/>
  <c r="M75" i="1" s="1"/>
  <c r="H116" i="1"/>
  <c r="M116" i="1" s="1"/>
  <c r="J30" i="1"/>
  <c r="O30" i="1" s="1"/>
  <c r="I41" i="1"/>
  <c r="N41" i="1" s="1"/>
  <c r="H31" i="1"/>
  <c r="M31" i="1" s="1"/>
  <c r="J44" i="1"/>
  <c r="O44" i="1" s="1"/>
  <c r="H65" i="1"/>
  <c r="M65" i="1" s="1"/>
  <c r="H80" i="1"/>
  <c r="M80" i="1" s="1"/>
  <c r="H84" i="1"/>
  <c r="M84" i="1" s="1"/>
  <c r="I75" i="1"/>
  <c r="N75" i="1" s="1"/>
  <c r="H73" i="1"/>
  <c r="M73" i="1" s="1"/>
  <c r="H94" i="1"/>
  <c r="M94" i="1" s="1"/>
  <c r="I73" i="1"/>
  <c r="N73" i="1" s="1"/>
  <c r="I94" i="1"/>
  <c r="N94" i="1" s="1"/>
  <c r="J38" i="1"/>
  <c r="O38" i="1" s="1"/>
  <c r="J122" i="1"/>
  <c r="O122" i="1" s="1"/>
  <c r="I122" i="1"/>
  <c r="N122" i="1" s="1"/>
  <c r="H39" i="1"/>
  <c r="M39" i="1" s="1"/>
  <c r="H64" i="1"/>
  <c r="M64" i="1" s="1"/>
  <c r="J64" i="1"/>
  <c r="O64" i="1" s="1"/>
  <c r="I118" i="1"/>
  <c r="N118" i="1" s="1"/>
  <c r="J52" i="1"/>
  <c r="O52" i="1" s="1"/>
  <c r="I28" i="1"/>
  <c r="N28" i="1" s="1"/>
  <c r="J28" i="1"/>
  <c r="O28" i="1" s="1"/>
  <c r="H32" i="1"/>
  <c r="M32" i="1" s="1"/>
  <c r="J118" i="1"/>
  <c r="O118" i="1" s="1"/>
  <c r="I43" i="1"/>
  <c r="N43" i="1" s="1"/>
  <c r="I32" i="1"/>
  <c r="N32" i="1" s="1"/>
  <c r="H45" i="1"/>
  <c r="M45" i="1" s="1"/>
  <c r="I97" i="1"/>
  <c r="N97" i="1" s="1"/>
  <c r="I89" i="1"/>
  <c r="N89" i="1" s="1"/>
  <c r="J45" i="1"/>
  <c r="O45" i="1" s="1"/>
  <c r="J97" i="1"/>
  <c r="O97" i="1" s="1"/>
  <c r="J89" i="1"/>
  <c r="O89" i="1" s="1"/>
  <c r="H36" i="1"/>
  <c r="M36" i="1" s="1"/>
  <c r="H62" i="1"/>
  <c r="M62" i="1" s="1"/>
  <c r="H42" i="1"/>
  <c r="M42" i="1" s="1"/>
  <c r="I60" i="1"/>
  <c r="N60" i="1" s="1"/>
  <c r="H60" i="1"/>
  <c r="M60" i="1" s="1"/>
  <c r="I106" i="1"/>
  <c r="N106" i="1" s="1"/>
  <c r="I36" i="1"/>
  <c r="N36" i="1" s="1"/>
  <c r="J62" i="1"/>
  <c r="O62" i="1" s="1"/>
  <c r="J42" i="1"/>
  <c r="O42" i="1" s="1"/>
  <c r="H106" i="1"/>
  <c r="M106" i="1" s="1"/>
  <c r="I38" i="1"/>
  <c r="N38" i="1" s="1"/>
  <c r="I67" i="1"/>
  <c r="N67" i="1" s="1"/>
  <c r="I72" i="1"/>
  <c r="N72" i="1" s="1"/>
  <c r="H58" i="1"/>
  <c r="M58" i="1" s="1"/>
  <c r="J67" i="1"/>
  <c r="O67" i="1" s="1"/>
  <c r="J110" i="1"/>
  <c r="O110" i="1" s="1"/>
  <c r="J100" i="1"/>
  <c r="O100" i="1" s="1"/>
  <c r="H100" i="1"/>
  <c r="M100" i="1" s="1"/>
  <c r="I37" i="1"/>
  <c r="N37" i="1" s="1"/>
  <c r="H37" i="1"/>
  <c r="M37" i="1" s="1"/>
  <c r="H71" i="1"/>
  <c r="M71" i="1" s="1"/>
  <c r="I71" i="1"/>
  <c r="N71" i="1" s="1"/>
  <c r="H57" i="1"/>
  <c r="M57" i="1" s="1"/>
  <c r="I57" i="1"/>
  <c r="N57" i="1" s="1"/>
  <c r="H104" i="1"/>
  <c r="M104" i="1" s="1"/>
  <c r="I104" i="1"/>
  <c r="N104" i="1" s="1"/>
  <c r="I112" i="1"/>
  <c r="N112" i="1" s="1"/>
  <c r="H112" i="1"/>
  <c r="M112" i="1" s="1"/>
  <c r="H72" i="1"/>
  <c r="M72" i="1" s="1"/>
  <c r="M28" i="1"/>
  <c r="B83" i="2" l="1"/>
  <c r="B84" i="2"/>
  <c r="B59" i="2"/>
  <c r="B63" i="2"/>
  <c r="B80" i="2"/>
  <c r="B55" i="2"/>
  <c r="B53" i="2"/>
  <c r="B57" i="2"/>
  <c r="B7" i="2"/>
  <c r="B40" i="2"/>
  <c r="B61" i="2"/>
  <c r="B48" i="2"/>
  <c r="B19" i="2"/>
  <c r="B8" i="2"/>
  <c r="B50" i="2"/>
  <c r="B103" i="2"/>
  <c r="B34" i="2"/>
  <c r="B51" i="2"/>
  <c r="B37" i="2"/>
  <c r="B77" i="2"/>
  <c r="B82" i="2"/>
  <c r="B73" i="2"/>
  <c r="B9" i="2"/>
  <c r="B13" i="2"/>
  <c r="B41" i="2"/>
  <c r="B29" i="2"/>
  <c r="B26" i="2"/>
  <c r="B28" i="2"/>
  <c r="B16" i="2"/>
  <c r="B93" i="2"/>
  <c r="B88" i="2"/>
  <c r="B71" i="2"/>
  <c r="B46" i="2"/>
  <c r="B97" i="2"/>
  <c r="B54" i="2"/>
  <c r="B42" i="2"/>
  <c r="B14" i="2"/>
  <c r="B39" i="2"/>
  <c r="B52" i="2"/>
  <c r="B10" i="2"/>
  <c r="B56" i="2"/>
  <c r="B78" i="2"/>
  <c r="B11" i="2"/>
  <c r="B32" i="2"/>
  <c r="B17" i="2"/>
  <c r="B85" i="2"/>
  <c r="B35" i="2"/>
  <c r="B49" i="2"/>
  <c r="B18" i="2"/>
  <c r="B47" i="2"/>
  <c r="B100" i="2"/>
  <c r="B12" i="2"/>
  <c r="B104" i="2"/>
  <c r="B64" i="2"/>
  <c r="B81" i="2"/>
  <c r="B89" i="2"/>
  <c r="B45" i="2"/>
  <c r="B90" i="2"/>
  <c r="B6" i="2"/>
  <c r="B33" i="2"/>
  <c r="B22" i="2"/>
  <c r="B31" i="2"/>
  <c r="B25" i="2"/>
  <c r="I24" i="1"/>
  <c r="H21" i="1"/>
  <c r="I19" i="1"/>
  <c r="J20" i="1"/>
  <c r="H19" i="1"/>
  <c r="J25" i="1"/>
  <c r="H24" i="1"/>
  <c r="J21" i="1"/>
  <c r="J24" i="1"/>
  <c r="H20" i="1"/>
  <c r="H25" i="1"/>
  <c r="I21" i="1"/>
  <c r="J19" i="1"/>
  <c r="I25" i="1"/>
  <c r="I20" i="1"/>
  <c r="B5" i="2"/>
  <c r="M21" i="1"/>
  <c r="M19" i="1"/>
  <c r="M25" i="1"/>
  <c r="M24" i="1"/>
  <c r="M20" i="1"/>
  <c r="O25" i="1"/>
  <c r="O21" i="1"/>
  <c r="O19" i="1"/>
  <c r="O20" i="1"/>
  <c r="O24" i="1"/>
  <c r="N24" i="1"/>
  <c r="N19" i="1"/>
  <c r="N25" i="1"/>
  <c r="N20" i="1"/>
  <c r="N21" i="1"/>
  <c r="E35" i="2" l="1" a="1"/>
  <c r="E35" i="2" s="1"/>
  <c r="E38" i="2" a="1"/>
  <c r="E38" i="2" s="1"/>
  <c r="E13" i="2" a="1"/>
  <c r="E13" i="2" s="1"/>
  <c r="E14" i="2" a="1"/>
  <c r="E14" i="2" s="1"/>
  <c r="E86" i="2" a="1"/>
  <c r="E86" i="2" s="1"/>
  <c r="E78" i="2" a="1"/>
  <c r="E78" i="2" s="1"/>
  <c r="E70" i="2" a="1"/>
  <c r="E70" i="2" s="1"/>
  <c r="E62" i="2" a="1"/>
  <c r="E62" i="2" s="1"/>
  <c r="E54" i="2" a="1"/>
  <c r="E54" i="2" s="1"/>
  <c r="E46" i="2" a="1"/>
  <c r="E46" i="2" s="1"/>
  <c r="E29" i="2" a="1"/>
  <c r="E29" i="2" s="1"/>
  <c r="E21" i="2" a="1"/>
  <c r="E21" i="2" s="1"/>
  <c r="E5" i="2" a="1"/>
  <c r="E5" i="2" s="1"/>
  <c r="E30" i="2" a="1"/>
  <c r="E30" i="2" s="1"/>
  <c r="E85" i="2" a="1"/>
  <c r="E85" i="2" s="1"/>
  <c r="E77" i="2" a="1"/>
  <c r="E77" i="2" s="1"/>
  <c r="E69" i="2" a="1"/>
  <c r="E69" i="2" s="1"/>
  <c r="E61" i="2" a="1"/>
  <c r="E61" i="2" s="1"/>
  <c r="E53" i="2" a="1"/>
  <c r="E53" i="2" s="1"/>
  <c r="E45" i="2" a="1"/>
  <c r="E45" i="2" s="1"/>
  <c r="E37" i="2" a="1"/>
  <c r="E37" i="2" s="1"/>
  <c r="E28" i="2" a="1"/>
  <c r="E28" i="2" s="1"/>
  <c r="E20" i="2" a="1"/>
  <c r="E20" i="2" s="1"/>
  <c r="E12" i="2" a="1"/>
  <c r="E12" i="2" s="1"/>
  <c r="E27" i="2" a="1"/>
  <c r="E27" i="2" s="1"/>
  <c r="E31" i="2" a="1"/>
  <c r="E31" i="2" s="1"/>
  <c r="E6" i="2" a="1"/>
  <c r="E6" i="2" s="1"/>
  <c r="E84" i="2" a="1"/>
  <c r="E84" i="2" s="1"/>
  <c r="E76" i="2" a="1"/>
  <c r="E76" i="2" s="1"/>
  <c r="E68" i="2" a="1"/>
  <c r="E68" i="2" s="1"/>
  <c r="E60" i="2" a="1"/>
  <c r="E60" i="2" s="1"/>
  <c r="E52" i="2" a="1"/>
  <c r="E52" i="2" s="1"/>
  <c r="E44" i="2" a="1"/>
  <c r="E44" i="2" s="1"/>
  <c r="E36" i="2" a="1"/>
  <c r="E36" i="2" s="1"/>
  <c r="E19" i="2" a="1"/>
  <c r="E19" i="2" s="1"/>
  <c r="E11" i="2" a="1"/>
  <c r="E11" i="2" s="1"/>
  <c r="E48" i="2" a="1"/>
  <c r="E48" i="2" s="1"/>
  <c r="E39" i="2" a="1"/>
  <c r="E39" i="2" s="1"/>
  <c r="E26" i="2" a="1"/>
  <c r="E26" i="2" s="1"/>
  <c r="E64" i="2" a="1"/>
  <c r="E64" i="2" s="1"/>
  <c r="E71" i="2" a="1"/>
  <c r="E71" i="2" s="1"/>
  <c r="E83" i="2" a="1"/>
  <c r="E83" i="2" s="1"/>
  <c r="E75" i="2" a="1"/>
  <c r="E75" i="2" s="1"/>
  <c r="E67" i="2" a="1"/>
  <c r="E67" i="2" s="1"/>
  <c r="E59" i="2" a="1"/>
  <c r="E59" i="2" s="1"/>
  <c r="E51" i="2" a="1"/>
  <c r="E51" i="2" s="1"/>
  <c r="E43" i="2" a="1"/>
  <c r="E43" i="2" s="1"/>
  <c r="E34" i="2" a="1"/>
  <c r="E34" i="2" s="1"/>
  <c r="E18" i="2" a="1"/>
  <c r="E18" i="2" s="1"/>
  <c r="E10" i="2" a="1"/>
  <c r="E10" i="2" s="1"/>
  <c r="E23" i="2" a="1"/>
  <c r="E23" i="2" s="1"/>
  <c r="E22" i="2" a="1"/>
  <c r="E22" i="2" s="1"/>
  <c r="E25" i="2" a="1"/>
  <c r="E25" i="2" s="1"/>
  <c r="E56" i="2" a="1"/>
  <c r="E56" i="2" s="1"/>
  <c r="E82" i="2" a="1"/>
  <c r="E82" i="2" s="1"/>
  <c r="E74" i="2" a="1"/>
  <c r="E74" i="2" s="1"/>
  <c r="E66" i="2" a="1"/>
  <c r="E66" i="2" s="1"/>
  <c r="E58" i="2" a="1"/>
  <c r="E58" i="2" s="1"/>
  <c r="E50" i="2" a="1"/>
  <c r="E50" i="2" s="1"/>
  <c r="E42" i="2" a="1"/>
  <c r="E42" i="2" s="1"/>
  <c r="E33" i="2" a="1"/>
  <c r="E33" i="2" s="1"/>
  <c r="E17" i="2" a="1"/>
  <c r="E17" i="2" s="1"/>
  <c r="E9" i="2" a="1"/>
  <c r="E9" i="2" s="1"/>
  <c r="E40" i="2" a="1"/>
  <c r="E40" i="2" s="1"/>
  <c r="E7" i="2" a="1"/>
  <c r="E7" i="2" s="1"/>
  <c r="E47" i="2" a="1"/>
  <c r="E47" i="2" s="1"/>
  <c r="E41" i="2" a="1"/>
  <c r="E41" i="2" s="1"/>
  <c r="E16" i="2" a="1"/>
  <c r="E16" i="2" s="1"/>
  <c r="E72" i="2" a="1"/>
  <c r="E72" i="2" s="1"/>
  <c r="E15" i="2" a="1"/>
  <c r="E15" i="2" s="1"/>
  <c r="E55" i="2" a="1"/>
  <c r="E55" i="2" s="1"/>
  <c r="E81" i="2" a="1"/>
  <c r="E81" i="2" s="1"/>
  <c r="E73" i="2" a="1"/>
  <c r="E73" i="2" s="1"/>
  <c r="E65" i="2" a="1"/>
  <c r="E65" i="2" s="1"/>
  <c r="E57" i="2" a="1"/>
  <c r="E57" i="2" s="1"/>
  <c r="E49" i="2" a="1"/>
  <c r="E49" i="2" s="1"/>
  <c r="E32" i="2" a="1"/>
  <c r="E32" i="2" s="1"/>
  <c r="E24" i="2" a="1"/>
  <c r="E24" i="2" s="1"/>
  <c r="E8" i="2" a="1"/>
  <c r="E8" i="2" s="1"/>
  <c r="E80" i="2" a="1"/>
  <c r="E80" i="2" s="1"/>
  <c r="E63" i="2" a="1"/>
  <c r="E63" i="2" s="1"/>
  <c r="E79" i="2" a="1"/>
  <c r="E79" i="2" s="1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<sst xmlns="http://schemas.openxmlformats.org/spreadsheetml/2006/main" count="24" uniqueCount="17">
  <si>
    <t>Asset</t>
  </si>
  <si>
    <t>Cash</t>
  </si>
  <si>
    <t>Bonds</t>
  </si>
  <si>
    <t>Stocks</t>
  </si>
  <si>
    <t>Mean</t>
  </si>
  <si>
    <t>StDev</t>
  </si>
  <si>
    <t>Target Correlation Matrix</t>
  </si>
  <si>
    <t>Cholesky Decomposition</t>
  </si>
  <si>
    <t>Independent Normal Random Numbers</t>
  </si>
  <si>
    <t>Simulated Asset Returns</t>
  </si>
  <si>
    <t>Simulated Correlation Matrix</t>
  </si>
  <si>
    <t>Adjusted Correlation Matrix</t>
  </si>
  <si>
    <t>Adjusted Cholesky Decomposition</t>
  </si>
  <si>
    <t>Correlated Normal Random Numbers</t>
  </si>
  <si>
    <t>Correlation of Independent Randoms</t>
  </si>
  <si>
    <t>Correlation of Correlated Randoms</t>
  </si>
  <si>
    <t xml:space="preserve"> 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</si>
</sst>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3">
    <numFmt numFmtId="164" formatCode="0.0000"/>
    <numFmt numFmtId="165" formatCode="0.000"/>
    <numFmt numFmtId="166" formatCode="0.0"/>
  </numFmts>
  <fonts count="8">
    <font>
      <sz val="11"/>
      <color theme="1"/>
      <name val="Calibri"/>
      <family val="2"/>
    </font>
    <font>
      <sz val="11"/>
      <color theme="1"/>
      <name val="Calibri"/>
      <family val="2"/>
    </font>
    <font>
      <sz val="11"/>
      <color theme="2"/>
      <name val="Source Sans CAIM"/>
    </font>
    <font>
      <sz val="11"/>
      <color theme="1"/>
      <name val="Source Sans CAIM"/>
    </font>
    <font>
      <i/>
      <sz val="9"/>
      <color theme="0" tint="-0.499984740745262"/>
      <name val="Source Sans CAIM"/>
    </font>
    <font>
      <sz val="9"/>
      <color theme="3"/>
      <name val="Source Sans CAIM"/>
    </font>
    <font>
      <sz val="11"/>
      <color theme="0" tint="-0.499984740745262"/>
      <name val="Source Sans CAIM"/>
    </font>
    <font>
      <sz val="11"/>
      <color theme="0"/>
      <name val="Source Sans CAIM"/>
    </font>
  </fonts>
  <fills count="5">
    <fill>
      <patternFill patternType="none"/>
    </fill>
    <fill>
      <patternFill patternType="gray125"/>
    </fill>
    <fill>
      <patternFill patternType="solid">
        <fgColor theme="4"/>
        <bgColor indexed="64"/>
      </patternFill>
    </fill>
    <fill>
      <patternFill patternType="solid">
        <fgColor rgb="FFECE9E7"/>
        <bgColor indexed="64"/>
      </patternFill>
    </fill>
    <fill>
      <patternFill patternType="solid">
        <fgColor theme="7" tint="0.79998168889431442"/>
        <bgColor indexed="64"/>
      </patternFill>
    </fill>
  </fills>
  <borders count="1">
    <border>
      <left/>
      <right/>
      <top/>
      <bottom/>
      <diagonal/>
    </border>
  </borders>
  <cellStyleXfs count="2">
    <xf numFmtId="0" fontId="0" fillId="0" borderId="0"/>
    <xf numFmtId="9" fontId="1" fillId="0" borderId="0" applyFont="0" applyFill="0" applyBorder="0" applyAlignment="0" applyProtection="0"/>
  </cellStyleXfs>
  <cellXfs count="27">
    <xf numFmtId="0" fontId="0" fillId="0" borderId="0" xfId="0"/>
    <xf numFmtId="0" fontId="2" fillId="2" borderId="0" xfId="0" applyFont="1" applyFill="1" applyAlignment="1">
      <alignment horizontal="center"/>
    </xf>
    <xf numFmtId="0" fontId="3" fillId="0" borderId="0" xfId="0" applyFont="1" applyAlignment="1">
      <alignment horizontal="center"/>
    </xf>
    <xf numFmtId="0" fontId="3" fillId="3" borderId="0" xfId="0" applyFont="1" applyFill="1" applyAlignment="1">
      <alignment horizontal="center"/>
    </xf>
    <xf numFmtId="9" fontId="3" fillId="3" borderId="0" xfId="0" applyNumberFormat="1" applyFont="1" applyFill="1" applyAlignment="1">
      <alignment horizontal="center"/>
    </xf>
    <xf numFmtId="9" fontId="3" fillId="0" borderId="0" xfId="0" applyNumberFormat="1" applyFont="1" applyAlignment="1">
      <alignment horizontal="center"/>
    </xf>
    <xf numFmtId="0" fontId="3" fillId="0" borderId="0" xfId="0" applyFont="1" applyAlignment="1">
      <alignment horizontal="left"/>
    </xf>
    <xf numFmtId="165" fontId="3" fillId="3" borderId="0" xfId="0" applyNumberFormat="1" applyFont="1" applyFill="1" applyAlignment="1">
      <alignment horizontal="center"/>
    </xf>
    <xf numFmtId="165" fontId="3" fillId="0" borderId="0" xfId="0" applyNumberFormat="1" applyFont="1" applyAlignment="1">
      <alignment horizontal="center"/>
    </xf>
    <xf numFmtId="0" fontId="4" fillId="0" borderId="0" xfId="0" applyFont="1" applyAlignment="1">
      <alignment horizontal="left"/>
    </xf>
    <xf numFmtId="0" fontId="4" fillId="0" borderId="0" xfId="0" applyFont="1" applyAlignment="1">
      <alignment horizontal="right"/>
    </xf>
    <xf numFmtId="0" fontId="5" fillId="0" borderId="0" xfId="0" applyFont="1" applyAlignment="1">
      <alignment horizontal="right"/>
    </xf>
    <xf numFmtId="0" fontId="6" fillId="0" borderId="0" xfId="0" applyFont="1" applyAlignment="1">
      <alignment horizontal="center"/>
    </xf>
    <xf numFmtId="164" fontId="3" fillId="0" borderId="0" xfId="0" applyNumberFormat="1" applyFont="1" applyAlignment="1">
      <alignment horizontal="left"/>
    </xf>
    <xf numFmtId="164" fontId="3" fillId="0" borderId="0" xfId="0" applyNumberFormat="1" applyFont="1" applyAlignment="1">
      <alignment horizontal="center"/>
    </xf>
    <xf numFmtId="1" fontId="6" fillId="0" borderId="0" xfId="0" applyNumberFormat="1" applyFont="1" applyAlignment="1">
      <alignment horizontal="center"/>
    </xf>
    <xf numFmtId="166" fontId="3" fillId="3" borderId="0" xfId="0" applyNumberFormat="1" applyFont="1" applyFill="1" applyAlignment="1">
      <alignment horizontal="center"/>
    </xf>
    <xf numFmtId="166" fontId="3" fillId="0" borderId="0" xfId="0" applyNumberFormat="1" applyFont="1" applyAlignment="1">
      <alignment horizontal="center"/>
    </xf>
    <xf numFmtId="10" fontId="3" fillId="3" borderId="0" xfId="1" applyNumberFormat="1" applyFont="1" applyFill="1" applyAlignment="1">
      <alignment horizontal="center"/>
    </xf>
    <xf numFmtId="2" fontId="3" fillId="3" borderId="0" xfId="0" applyNumberFormat="1" applyFont="1" applyFill="1" applyAlignment="1">
      <alignment horizontal="center"/>
    </xf>
    <xf numFmtId="2" fontId="3" fillId="0" borderId="0" xfId="0" applyNumberFormat="1" applyFont="1" applyAlignment="1">
      <alignment horizontal="center"/>
    </xf>
    <xf numFmtId="10" fontId="3" fillId="3" borderId="0" xfId="0" applyNumberFormat="1" applyFont="1" applyFill="1" applyAlignment="1">
      <alignment horizontal="center"/>
    </xf>
    <xf numFmtId="0" fontId="7" fillId="2" borderId="0" xfId="0" applyFont="1" applyFill="1" applyAlignment="1">
      <alignment horizontal="center"/>
    </xf>
    <xf numFmtId="1" fontId="7" fillId="0" borderId="0" xfId="0" applyNumberFormat="1" applyFont="1" applyAlignment="1">
      <alignment horizontal="center"/>
    </xf>
    <xf numFmtId="0" fontId="3" fillId="0" borderId="0" xfId="0" applyFont="1"/>
    <xf numFmtId="2" fontId="3" fillId="0" borderId="0" xfId="0" applyNumberFormat="1" applyFont="1"/>
    <xf numFmtId="165" fontId="3" fillId="4" borderId="0" xfId="0" applyNumberFormat="1" applyFont="1" applyFill="1" applyAlignment="1">
      <alignment horizontal="center"/>
    </xf>
  </cellXfs>
  <cellStyles count="2">
    <cellStyle name="Normal" xfId="0" builtinId="0"/>
    <cellStyle name="Percent" xfId="1" builtinId="5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eetMetadata" Target="metadata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Relationship Id="rId9" Type="http://schemas.microsoft.com/office/2006/relationships/vbaProject" Target="vbaProject.bin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barChart>
        <c:barDir val="col"/>
        <c:grouping val="clustered"/>
        <c:varyColors val="0"/>
        <c:ser>
          <c:idx val="0"/>
          <c:order val="0"/>
          <c:invertIfNegative val="0"/>
          <c:cat>
            <c:numRef>
              <c:f>histogram100!$D$5:$D$85</c:f>
              <c:numCache>
                <c:formatCode>General</c:formatCode>
                <c:ptCount val="81"/>
                <c:pt idx="0">
                  <c:v>-3</c:v>
                </c:pt>
                <c:pt idx="1">
                  <c:v>-2.9</c:v>
                </c:pt>
                <c:pt idx="2">
                  <c:v>-2.8</c:v>
                </c:pt>
                <c:pt idx="3">
                  <c:v>-2.7</c:v>
                </c:pt>
                <c:pt idx="4">
                  <c:v>-2.6</c:v>
                </c:pt>
                <c:pt idx="5">
                  <c:v>-2.5</c:v>
                </c:pt>
                <c:pt idx="6">
                  <c:v>-2.4</c:v>
                </c:pt>
                <c:pt idx="7">
                  <c:v>-2.2999999999999998</c:v>
                </c:pt>
                <c:pt idx="8">
                  <c:v>-2.2000000000000002</c:v>
                </c:pt>
                <c:pt idx="9">
                  <c:v>-2.1</c:v>
                </c:pt>
                <c:pt idx="10">
                  <c:v>-2</c:v>
                </c:pt>
                <c:pt idx="11">
                  <c:v>-1.9</c:v>
                </c:pt>
                <c:pt idx="12">
                  <c:v>-1.8</c:v>
                </c:pt>
                <c:pt idx="13">
                  <c:v>-1.7</c:v>
                </c:pt>
                <c:pt idx="14">
                  <c:v>-1.6</c:v>
                </c:pt>
                <c:pt idx="15">
                  <c:v>-1.5</c:v>
                </c:pt>
                <c:pt idx="16">
                  <c:v>-1.4</c:v>
                </c:pt>
                <c:pt idx="17">
                  <c:v>-1.3</c:v>
                </c:pt>
                <c:pt idx="18">
                  <c:v>-1.2</c:v>
                </c:pt>
                <c:pt idx="19">
                  <c:v>-1.1000000000000001</c:v>
                </c:pt>
                <c:pt idx="20">
                  <c:v>-1</c:v>
                </c:pt>
                <c:pt idx="21">
                  <c:v>-0.9</c:v>
                </c:pt>
                <c:pt idx="22">
                  <c:v>-0.8</c:v>
                </c:pt>
                <c:pt idx="23">
                  <c:v>-0.7</c:v>
                </c:pt>
                <c:pt idx="24">
                  <c:v>-0.6</c:v>
                </c:pt>
                <c:pt idx="25">
                  <c:v>-0.5</c:v>
                </c:pt>
                <c:pt idx="26">
                  <c:v>-0.4</c:v>
                </c:pt>
                <c:pt idx="27">
                  <c:v>-0.3</c:v>
                </c:pt>
                <c:pt idx="28">
                  <c:v>-0.2</c:v>
                </c:pt>
                <c:pt idx="29">
                  <c:v>-0.1</c:v>
                </c:pt>
                <c:pt idx="30">
                  <c:v>0</c:v>
                </c:pt>
                <c:pt idx="31">
                  <c:v>0.1</c:v>
                </c:pt>
                <c:pt idx="32">
                  <c:v>0.2</c:v>
                </c:pt>
                <c:pt idx="33">
                  <c:v>0.3</c:v>
                </c:pt>
                <c:pt idx="34">
                  <c:v>0.4</c:v>
                </c:pt>
                <c:pt idx="35">
                  <c:v>0.5</c:v>
                </c:pt>
                <c:pt idx="36">
                  <c:v>0.6</c:v>
                </c:pt>
                <c:pt idx="37">
                  <c:v>0.7</c:v>
                </c:pt>
                <c:pt idx="38">
                  <c:v>0.8</c:v>
                </c:pt>
                <c:pt idx="39">
                  <c:v>0.9</c:v>
                </c:pt>
                <c:pt idx="40">
                  <c:v>1</c:v>
                </c:pt>
                <c:pt idx="41">
                  <c:v>1.1000000000000001</c:v>
                </c:pt>
                <c:pt idx="42">
                  <c:v>1.2</c:v>
                </c:pt>
                <c:pt idx="43">
                  <c:v>1.3</c:v>
                </c:pt>
                <c:pt idx="44">
                  <c:v>1.4</c:v>
                </c:pt>
                <c:pt idx="45">
                  <c:v>1.5</c:v>
                </c:pt>
                <c:pt idx="46">
                  <c:v>1.6</c:v>
                </c:pt>
                <c:pt idx="47">
                  <c:v>1.7</c:v>
                </c:pt>
                <c:pt idx="48">
                  <c:v>1.8</c:v>
                </c:pt>
                <c:pt idx="49">
                  <c:v>1.9</c:v>
                </c:pt>
                <c:pt idx="50">
                  <c:v>2</c:v>
                </c:pt>
                <c:pt idx="51">
                  <c:v>2.1</c:v>
                </c:pt>
                <c:pt idx="52">
                  <c:v>2.2000000000000002</c:v>
                </c:pt>
                <c:pt idx="53">
                  <c:v>2.2999999999999998</c:v>
                </c:pt>
                <c:pt idx="54">
                  <c:v>2.4</c:v>
                </c:pt>
                <c:pt idx="55">
                  <c:v>2.5000000000000102</c:v>
                </c:pt>
                <c:pt idx="56">
                  <c:v>2.6</c:v>
                </c:pt>
                <c:pt idx="57">
                  <c:v>2.7</c:v>
                </c:pt>
                <c:pt idx="58">
                  <c:v>2.80000000000001</c:v>
                </c:pt>
                <c:pt idx="59">
                  <c:v>2.9000000000000101</c:v>
                </c:pt>
                <c:pt idx="60">
                  <c:v>3.0000000000000102</c:v>
                </c:pt>
                <c:pt idx="61">
                  <c:v>3.1</c:v>
                </c:pt>
                <c:pt idx="62">
                  <c:v>3.2000000000000099</c:v>
                </c:pt>
                <c:pt idx="63">
                  <c:v>3.30000000000001</c:v>
                </c:pt>
                <c:pt idx="64">
                  <c:v>3.4000000000000101</c:v>
                </c:pt>
                <c:pt idx="65">
                  <c:v>3.5000000000000102</c:v>
                </c:pt>
                <c:pt idx="66">
                  <c:v>3.6000000000000099</c:v>
                </c:pt>
                <c:pt idx="67">
                  <c:v>3.7000000000000099</c:v>
                </c:pt>
                <c:pt idx="68">
                  <c:v>3.80000000000001</c:v>
                </c:pt>
                <c:pt idx="69">
                  <c:v>3.9000000000000101</c:v>
                </c:pt>
                <c:pt idx="70">
                  <c:v>4.0000000000000098</c:v>
                </c:pt>
                <c:pt idx="71">
                  <c:v>4.1000000000000103</c:v>
                </c:pt>
                <c:pt idx="72">
                  <c:v>4.2000000000000099</c:v>
                </c:pt>
                <c:pt idx="73">
                  <c:v>4.3000000000000096</c:v>
                </c:pt>
                <c:pt idx="74">
                  <c:v>4.4000000000000101</c:v>
                </c:pt>
                <c:pt idx="75">
                  <c:v>4.5000000000000098</c:v>
                </c:pt>
                <c:pt idx="76">
                  <c:v>4.6000000000000103</c:v>
                </c:pt>
                <c:pt idx="77">
                  <c:v>4.7000000000000099</c:v>
                </c:pt>
                <c:pt idx="78">
                  <c:v>4.8000000000000096</c:v>
                </c:pt>
                <c:pt idx="79">
                  <c:v>4.9000000000000101</c:v>
                </c:pt>
                <c:pt idx="80">
                  <c:v>5.0000000000000098</c:v>
                </c:pt>
              </c:numCache>
            </c:numRef>
          </c:cat>
          <c:val>
            <c:numRef>
              <c:f>histogram100!$E$5:$E$85</c:f>
              <c:numCache>
                <c:formatCode>General</c:formatCode>
                <c:ptCount val="8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1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1</c:v>
                </c:pt>
                <c:pt idx="32">
                  <c:v>1</c:v>
                </c:pt>
                <c:pt idx="33">
                  <c:v>2</c:v>
                </c:pt>
                <c:pt idx="34">
                  <c:v>1</c:v>
                </c:pt>
                <c:pt idx="35">
                  <c:v>0</c:v>
                </c:pt>
                <c:pt idx="36">
                  <c:v>1</c:v>
                </c:pt>
                <c:pt idx="37">
                  <c:v>1</c:v>
                </c:pt>
                <c:pt idx="38">
                  <c:v>2</c:v>
                </c:pt>
                <c:pt idx="39">
                  <c:v>0</c:v>
                </c:pt>
                <c:pt idx="40">
                  <c:v>2</c:v>
                </c:pt>
                <c:pt idx="41">
                  <c:v>5</c:v>
                </c:pt>
                <c:pt idx="42">
                  <c:v>1</c:v>
                </c:pt>
                <c:pt idx="43">
                  <c:v>5</c:v>
                </c:pt>
                <c:pt idx="44">
                  <c:v>3</c:v>
                </c:pt>
                <c:pt idx="45">
                  <c:v>4</c:v>
                </c:pt>
                <c:pt idx="46">
                  <c:v>3</c:v>
                </c:pt>
                <c:pt idx="47">
                  <c:v>3</c:v>
                </c:pt>
                <c:pt idx="48">
                  <c:v>5</c:v>
                </c:pt>
                <c:pt idx="49">
                  <c:v>1</c:v>
                </c:pt>
                <c:pt idx="50">
                  <c:v>3</c:v>
                </c:pt>
                <c:pt idx="51">
                  <c:v>5</c:v>
                </c:pt>
                <c:pt idx="52">
                  <c:v>5</c:v>
                </c:pt>
                <c:pt idx="53">
                  <c:v>3</c:v>
                </c:pt>
                <c:pt idx="54">
                  <c:v>2</c:v>
                </c:pt>
                <c:pt idx="55">
                  <c:v>6</c:v>
                </c:pt>
                <c:pt idx="56">
                  <c:v>5</c:v>
                </c:pt>
                <c:pt idx="57">
                  <c:v>4</c:v>
                </c:pt>
                <c:pt idx="58">
                  <c:v>5</c:v>
                </c:pt>
                <c:pt idx="59">
                  <c:v>3</c:v>
                </c:pt>
                <c:pt idx="60">
                  <c:v>1</c:v>
                </c:pt>
                <c:pt idx="61">
                  <c:v>1</c:v>
                </c:pt>
                <c:pt idx="62">
                  <c:v>0</c:v>
                </c:pt>
                <c:pt idx="63">
                  <c:v>5</c:v>
                </c:pt>
                <c:pt idx="64">
                  <c:v>0</c:v>
                </c:pt>
                <c:pt idx="65">
                  <c:v>4</c:v>
                </c:pt>
                <c:pt idx="66">
                  <c:v>2</c:v>
                </c:pt>
                <c:pt idx="67">
                  <c:v>1</c:v>
                </c:pt>
                <c:pt idx="68">
                  <c:v>0</c:v>
                </c:pt>
                <c:pt idx="69">
                  <c:v>0</c:v>
                </c:pt>
                <c:pt idx="70">
                  <c:v>1</c:v>
                </c:pt>
                <c:pt idx="71">
                  <c:v>0</c:v>
                </c:pt>
                <c:pt idx="72">
                  <c:v>1</c:v>
                </c:pt>
                <c:pt idx="73">
                  <c:v>0</c:v>
                </c:pt>
                <c:pt idx="74">
                  <c:v>1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8B4F-4B6C-9477-A37DDDDB5A9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axId val="157820592"/>
        <c:axId val="1"/>
      </c:barChart>
      <c:catAx>
        <c:axId val="15782059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ln>
            <a:noFill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Source Sans CAIM"/>
                <a:ea typeface="Calibri"/>
                <a:cs typeface="Calibri"/>
              </a:defRPr>
            </a:pPr>
            <a:endParaRPr lang="en-US"/>
          </a:p>
        </c:txPr>
        <c:crossAx val="1"/>
        <c:crosses val="autoZero"/>
        <c:auto val="1"/>
        <c:lblAlgn val="ctr"/>
        <c:lblOffset val="100"/>
        <c:tickMarkSkip val="1"/>
        <c:noMultiLvlLbl val="0"/>
      </c:catAx>
      <c:valAx>
        <c:axId val="1"/>
        <c:scaling>
          <c:orientation val="minMax"/>
        </c:scaling>
        <c:delete val="0"/>
        <c:axPos val="l"/>
        <c:numFmt formatCode="General" sourceLinked="1"/>
        <c:majorTickMark val="none"/>
        <c:minorTickMark val="none"/>
        <c:tickLblPos val="nextTo"/>
        <c:spPr>
          <a:ln>
            <a:noFill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Source Sans CAIM"/>
                <a:ea typeface="Source Sans CAIM Black" panose="020B0303030403090204" pitchFamily="34" charset="0"/>
                <a:cs typeface="Calibri"/>
              </a:defRPr>
            </a:pPr>
            <a:endParaRPr lang="en-US"/>
          </a:p>
        </c:txPr>
        <c:crossAx val="157820592"/>
        <c:crosses val="autoZero"/>
        <c:crossBetween val="between"/>
      </c:valAx>
      <c:spPr>
        <a:solidFill>
          <a:schemeClr val="bg1">
            <a:lumMod val="95000"/>
          </a:schemeClr>
        </a:solidFill>
      </c:spPr>
    </c:plotArea>
    <c:plotVisOnly val="1"/>
    <c:dispBlanksAs val="gap"/>
    <c:showDLblsOverMax val="0"/>
  </c:chart>
  <c:spPr>
    <a:solidFill>
      <a:schemeClr val="bg1">
        <a:lumMod val="95000"/>
      </a:schemeClr>
    </a:solidFill>
    <a:ln>
      <a:noFill/>
    </a:ln>
  </c:spPr>
  <c:txPr>
    <a:bodyPr/>
    <a:lstStyle/>
    <a:p>
      <a:pPr>
        <a:defRPr sz="1000" b="0" i="0" u="none" strike="noStrike" baseline="0">
          <a:solidFill>
            <a:srgbClr val="000000"/>
          </a:solidFill>
          <a:latin typeface="Calibri"/>
          <a:ea typeface="Calibri"/>
          <a:cs typeface="Calibri"/>
        </a:defRPr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barChart>
        <c:barDir val="col"/>
        <c:grouping val="clustered"/>
        <c:varyColors val="0"/>
        <c:ser>
          <c:idx val="0"/>
          <c:order val="0"/>
          <c:invertIfNegative val="0"/>
          <c:cat>
            <c:numRef>
              <c:f>histogram500!$D$5:$D$85</c:f>
              <c:numCache>
                <c:formatCode>General</c:formatCode>
                <c:ptCount val="81"/>
                <c:pt idx="0">
                  <c:v>-3</c:v>
                </c:pt>
                <c:pt idx="1">
                  <c:v>-2.9</c:v>
                </c:pt>
                <c:pt idx="2">
                  <c:v>-2.8</c:v>
                </c:pt>
                <c:pt idx="3">
                  <c:v>-2.7</c:v>
                </c:pt>
                <c:pt idx="4">
                  <c:v>-2.6</c:v>
                </c:pt>
                <c:pt idx="5">
                  <c:v>-2.5</c:v>
                </c:pt>
                <c:pt idx="6">
                  <c:v>-2.4</c:v>
                </c:pt>
                <c:pt idx="7">
                  <c:v>-2.2999999999999998</c:v>
                </c:pt>
                <c:pt idx="8">
                  <c:v>-2.2000000000000002</c:v>
                </c:pt>
                <c:pt idx="9">
                  <c:v>-2.1</c:v>
                </c:pt>
                <c:pt idx="10">
                  <c:v>-2</c:v>
                </c:pt>
                <c:pt idx="11">
                  <c:v>-1.9</c:v>
                </c:pt>
                <c:pt idx="12">
                  <c:v>-1.8</c:v>
                </c:pt>
                <c:pt idx="13">
                  <c:v>-1.7</c:v>
                </c:pt>
                <c:pt idx="14">
                  <c:v>-1.6</c:v>
                </c:pt>
                <c:pt idx="15">
                  <c:v>-1.5</c:v>
                </c:pt>
                <c:pt idx="16">
                  <c:v>-1.4</c:v>
                </c:pt>
                <c:pt idx="17">
                  <c:v>-1.3</c:v>
                </c:pt>
                <c:pt idx="18">
                  <c:v>-1.2</c:v>
                </c:pt>
                <c:pt idx="19">
                  <c:v>-1.1000000000000001</c:v>
                </c:pt>
                <c:pt idx="20">
                  <c:v>-1</c:v>
                </c:pt>
                <c:pt idx="21">
                  <c:v>-0.9</c:v>
                </c:pt>
                <c:pt idx="22">
                  <c:v>-0.8</c:v>
                </c:pt>
                <c:pt idx="23">
                  <c:v>-0.7</c:v>
                </c:pt>
                <c:pt idx="24">
                  <c:v>-0.6</c:v>
                </c:pt>
                <c:pt idx="25">
                  <c:v>-0.5</c:v>
                </c:pt>
                <c:pt idx="26">
                  <c:v>-0.4</c:v>
                </c:pt>
                <c:pt idx="27">
                  <c:v>-0.3</c:v>
                </c:pt>
                <c:pt idx="28">
                  <c:v>-0.2</c:v>
                </c:pt>
                <c:pt idx="29">
                  <c:v>-0.1</c:v>
                </c:pt>
                <c:pt idx="30">
                  <c:v>0</c:v>
                </c:pt>
                <c:pt idx="31">
                  <c:v>0.1</c:v>
                </c:pt>
                <c:pt idx="32">
                  <c:v>0.2</c:v>
                </c:pt>
                <c:pt idx="33">
                  <c:v>0.3</c:v>
                </c:pt>
                <c:pt idx="34">
                  <c:v>0.4</c:v>
                </c:pt>
                <c:pt idx="35">
                  <c:v>0.5</c:v>
                </c:pt>
                <c:pt idx="36">
                  <c:v>0.6</c:v>
                </c:pt>
                <c:pt idx="37">
                  <c:v>0.7</c:v>
                </c:pt>
                <c:pt idx="38">
                  <c:v>0.8</c:v>
                </c:pt>
                <c:pt idx="39">
                  <c:v>0.9</c:v>
                </c:pt>
                <c:pt idx="40">
                  <c:v>1</c:v>
                </c:pt>
                <c:pt idx="41">
                  <c:v>1.1000000000000001</c:v>
                </c:pt>
                <c:pt idx="42">
                  <c:v>1.2</c:v>
                </c:pt>
                <c:pt idx="43">
                  <c:v>1.3</c:v>
                </c:pt>
                <c:pt idx="44">
                  <c:v>1.4</c:v>
                </c:pt>
                <c:pt idx="45">
                  <c:v>1.5</c:v>
                </c:pt>
                <c:pt idx="46">
                  <c:v>1.6</c:v>
                </c:pt>
                <c:pt idx="47">
                  <c:v>1.7</c:v>
                </c:pt>
                <c:pt idx="48">
                  <c:v>1.8</c:v>
                </c:pt>
                <c:pt idx="49">
                  <c:v>1.9</c:v>
                </c:pt>
                <c:pt idx="50">
                  <c:v>2</c:v>
                </c:pt>
                <c:pt idx="51">
                  <c:v>2.1</c:v>
                </c:pt>
                <c:pt idx="52">
                  <c:v>2.2000000000000002</c:v>
                </c:pt>
                <c:pt idx="53">
                  <c:v>2.2999999999999998</c:v>
                </c:pt>
                <c:pt idx="54">
                  <c:v>2.4</c:v>
                </c:pt>
                <c:pt idx="55">
                  <c:v>2.5000000000000102</c:v>
                </c:pt>
                <c:pt idx="56">
                  <c:v>2.6</c:v>
                </c:pt>
                <c:pt idx="57">
                  <c:v>2.7</c:v>
                </c:pt>
                <c:pt idx="58">
                  <c:v>2.80000000000001</c:v>
                </c:pt>
                <c:pt idx="59">
                  <c:v>2.9000000000000101</c:v>
                </c:pt>
                <c:pt idx="60">
                  <c:v>3.0000000000000102</c:v>
                </c:pt>
                <c:pt idx="61">
                  <c:v>3.1</c:v>
                </c:pt>
                <c:pt idx="62">
                  <c:v>3.2000000000000099</c:v>
                </c:pt>
                <c:pt idx="63">
                  <c:v>3.30000000000001</c:v>
                </c:pt>
                <c:pt idx="64">
                  <c:v>3.4000000000000101</c:v>
                </c:pt>
                <c:pt idx="65">
                  <c:v>3.5000000000000102</c:v>
                </c:pt>
                <c:pt idx="66">
                  <c:v>3.6000000000000099</c:v>
                </c:pt>
                <c:pt idx="67">
                  <c:v>3.7000000000000099</c:v>
                </c:pt>
                <c:pt idx="68">
                  <c:v>3.80000000000001</c:v>
                </c:pt>
                <c:pt idx="69">
                  <c:v>3.9000000000000101</c:v>
                </c:pt>
                <c:pt idx="70">
                  <c:v>4.0000000000000098</c:v>
                </c:pt>
                <c:pt idx="71">
                  <c:v>4.1000000000000103</c:v>
                </c:pt>
                <c:pt idx="72">
                  <c:v>4.2000000000000099</c:v>
                </c:pt>
                <c:pt idx="73">
                  <c:v>4.3000000000000096</c:v>
                </c:pt>
                <c:pt idx="74">
                  <c:v>4.4000000000000101</c:v>
                </c:pt>
                <c:pt idx="75">
                  <c:v>4.5000000000000098</c:v>
                </c:pt>
                <c:pt idx="76">
                  <c:v>4.6000000000000103</c:v>
                </c:pt>
                <c:pt idx="77">
                  <c:v>4.7000000000000099</c:v>
                </c:pt>
                <c:pt idx="78">
                  <c:v>4.8000000000000096</c:v>
                </c:pt>
                <c:pt idx="79">
                  <c:v>4.9000000000000101</c:v>
                </c:pt>
                <c:pt idx="80">
                  <c:v>5.0000000000000098</c:v>
                </c:pt>
              </c:numCache>
            </c:numRef>
          </c:cat>
          <c:val>
            <c:numRef>
              <c:f>histogram500!$E$5:$E$85</c:f>
              <c:numCache>
                <c:formatCode>General</c:formatCode>
                <c:ptCount val="8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1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1</c:v>
                </c:pt>
                <c:pt idx="25">
                  <c:v>1</c:v>
                </c:pt>
                <c:pt idx="26">
                  <c:v>1</c:v>
                </c:pt>
                <c:pt idx="27">
                  <c:v>0</c:v>
                </c:pt>
                <c:pt idx="28">
                  <c:v>0</c:v>
                </c:pt>
                <c:pt idx="29">
                  <c:v>4</c:v>
                </c:pt>
                <c:pt idx="30">
                  <c:v>7</c:v>
                </c:pt>
                <c:pt idx="31">
                  <c:v>2</c:v>
                </c:pt>
                <c:pt idx="32">
                  <c:v>4</c:v>
                </c:pt>
                <c:pt idx="33">
                  <c:v>6</c:v>
                </c:pt>
                <c:pt idx="34">
                  <c:v>3</c:v>
                </c:pt>
                <c:pt idx="35">
                  <c:v>8</c:v>
                </c:pt>
                <c:pt idx="36">
                  <c:v>7</c:v>
                </c:pt>
                <c:pt idx="37">
                  <c:v>15</c:v>
                </c:pt>
                <c:pt idx="38">
                  <c:v>7</c:v>
                </c:pt>
                <c:pt idx="39">
                  <c:v>10</c:v>
                </c:pt>
                <c:pt idx="40">
                  <c:v>13</c:v>
                </c:pt>
                <c:pt idx="41">
                  <c:v>10</c:v>
                </c:pt>
                <c:pt idx="42">
                  <c:v>12</c:v>
                </c:pt>
                <c:pt idx="43">
                  <c:v>15</c:v>
                </c:pt>
                <c:pt idx="44">
                  <c:v>14</c:v>
                </c:pt>
                <c:pt idx="45">
                  <c:v>12</c:v>
                </c:pt>
                <c:pt idx="46">
                  <c:v>19</c:v>
                </c:pt>
                <c:pt idx="47">
                  <c:v>19</c:v>
                </c:pt>
                <c:pt idx="48">
                  <c:v>18</c:v>
                </c:pt>
                <c:pt idx="49">
                  <c:v>25</c:v>
                </c:pt>
                <c:pt idx="50">
                  <c:v>18</c:v>
                </c:pt>
                <c:pt idx="51">
                  <c:v>14</c:v>
                </c:pt>
                <c:pt idx="52">
                  <c:v>19</c:v>
                </c:pt>
                <c:pt idx="53">
                  <c:v>20</c:v>
                </c:pt>
                <c:pt idx="54">
                  <c:v>23</c:v>
                </c:pt>
                <c:pt idx="55">
                  <c:v>13</c:v>
                </c:pt>
                <c:pt idx="56">
                  <c:v>12</c:v>
                </c:pt>
                <c:pt idx="57">
                  <c:v>17</c:v>
                </c:pt>
                <c:pt idx="58">
                  <c:v>20</c:v>
                </c:pt>
                <c:pt idx="59">
                  <c:v>12</c:v>
                </c:pt>
                <c:pt idx="60">
                  <c:v>18</c:v>
                </c:pt>
                <c:pt idx="61">
                  <c:v>11</c:v>
                </c:pt>
                <c:pt idx="62">
                  <c:v>13</c:v>
                </c:pt>
                <c:pt idx="63">
                  <c:v>8</c:v>
                </c:pt>
                <c:pt idx="64">
                  <c:v>5</c:v>
                </c:pt>
                <c:pt idx="65">
                  <c:v>8</c:v>
                </c:pt>
                <c:pt idx="66">
                  <c:v>5</c:v>
                </c:pt>
                <c:pt idx="67">
                  <c:v>5</c:v>
                </c:pt>
                <c:pt idx="68">
                  <c:v>5</c:v>
                </c:pt>
                <c:pt idx="69">
                  <c:v>5</c:v>
                </c:pt>
                <c:pt idx="70">
                  <c:v>5</c:v>
                </c:pt>
                <c:pt idx="71">
                  <c:v>4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1</c:v>
                </c:pt>
                <c:pt idx="77">
                  <c:v>1</c:v>
                </c:pt>
                <c:pt idx="78">
                  <c:v>1</c:v>
                </c:pt>
                <c:pt idx="79">
                  <c:v>2</c:v>
                </c:pt>
                <c:pt idx="80">
                  <c:v>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BF82-4D26-9834-FC519CDB1F8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axId val="157820592"/>
        <c:axId val="1"/>
      </c:barChart>
      <c:catAx>
        <c:axId val="15782059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ln>
            <a:noFill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Source Sans CAIM"/>
                <a:ea typeface="Calibri"/>
                <a:cs typeface="Calibri"/>
              </a:defRPr>
            </a:pPr>
            <a:endParaRPr lang="en-US"/>
          </a:p>
        </c:txPr>
        <c:crossAx val="1"/>
        <c:crosses val="autoZero"/>
        <c:auto val="1"/>
        <c:lblAlgn val="ctr"/>
        <c:lblOffset val="100"/>
        <c:tickMarkSkip val="1"/>
        <c:noMultiLvlLbl val="0"/>
      </c:catAx>
      <c:valAx>
        <c:axId val="1"/>
        <c:scaling>
          <c:orientation val="minMax"/>
        </c:scaling>
        <c:delete val="0"/>
        <c:axPos val="l"/>
        <c:numFmt formatCode="General" sourceLinked="1"/>
        <c:majorTickMark val="none"/>
        <c:minorTickMark val="none"/>
        <c:tickLblPos val="nextTo"/>
        <c:spPr>
          <a:ln>
            <a:noFill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Source Sans CAIM"/>
                <a:ea typeface="Source Sans CAIM Black" panose="020B0303030403090204" pitchFamily="34" charset="0"/>
                <a:cs typeface="Calibri"/>
              </a:defRPr>
            </a:pPr>
            <a:endParaRPr lang="en-US"/>
          </a:p>
        </c:txPr>
        <c:crossAx val="157820592"/>
        <c:crosses val="autoZero"/>
        <c:crossBetween val="between"/>
      </c:valAx>
      <c:spPr>
        <a:solidFill>
          <a:schemeClr val="bg1">
            <a:lumMod val="95000"/>
          </a:schemeClr>
        </a:solidFill>
      </c:spPr>
    </c:plotArea>
    <c:plotVisOnly val="1"/>
    <c:dispBlanksAs val="gap"/>
    <c:showDLblsOverMax val="0"/>
  </c:chart>
  <c:spPr>
    <a:solidFill>
      <a:schemeClr val="bg1">
        <a:lumMod val="95000"/>
      </a:schemeClr>
    </a:solidFill>
    <a:ln>
      <a:noFill/>
    </a:ln>
  </c:spPr>
  <c:txPr>
    <a:bodyPr/>
    <a:lstStyle/>
    <a:p>
      <a:pPr>
        <a:defRPr sz="1000" b="0" i="0" u="none" strike="noStrike" baseline="0">
          <a:solidFill>
            <a:srgbClr val="000000"/>
          </a:solidFill>
          <a:latin typeface="Calibri"/>
          <a:ea typeface="Calibri"/>
          <a:cs typeface="Calibri"/>
        </a:defRPr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barChart>
        <c:barDir val="col"/>
        <c:grouping val="clustered"/>
        <c:varyColors val="0"/>
        <c:ser>
          <c:idx val="0"/>
          <c:order val="0"/>
          <c:invertIfNegative val="0"/>
          <c:cat>
            <c:numRef>
              <c:f>histogram500!$N$5:$N$37</c:f>
              <c:numCache>
                <c:formatCode>General</c:formatCode>
                <c:ptCount val="33"/>
                <c:pt idx="0">
                  <c:v>-3</c:v>
                </c:pt>
                <c:pt idx="1">
                  <c:v>-2.75</c:v>
                </c:pt>
                <c:pt idx="2">
                  <c:v>-2.5</c:v>
                </c:pt>
                <c:pt idx="3">
                  <c:v>-2.25</c:v>
                </c:pt>
                <c:pt idx="4">
                  <c:v>-2</c:v>
                </c:pt>
                <c:pt idx="5">
                  <c:v>-1.75</c:v>
                </c:pt>
                <c:pt idx="6">
                  <c:v>-1.5</c:v>
                </c:pt>
                <c:pt idx="7">
                  <c:v>-1.25</c:v>
                </c:pt>
                <c:pt idx="8">
                  <c:v>-1</c:v>
                </c:pt>
                <c:pt idx="9">
                  <c:v>-0.75</c:v>
                </c:pt>
                <c:pt idx="10">
                  <c:v>-0.5</c:v>
                </c:pt>
                <c:pt idx="11">
                  <c:v>-0.25</c:v>
                </c:pt>
                <c:pt idx="12">
                  <c:v>0</c:v>
                </c:pt>
                <c:pt idx="13">
                  <c:v>0.25</c:v>
                </c:pt>
                <c:pt idx="14">
                  <c:v>0.5</c:v>
                </c:pt>
                <c:pt idx="15">
                  <c:v>0.75</c:v>
                </c:pt>
                <c:pt idx="16">
                  <c:v>1</c:v>
                </c:pt>
                <c:pt idx="17">
                  <c:v>1.25</c:v>
                </c:pt>
                <c:pt idx="18">
                  <c:v>1.5</c:v>
                </c:pt>
                <c:pt idx="19">
                  <c:v>1.75</c:v>
                </c:pt>
                <c:pt idx="20">
                  <c:v>2</c:v>
                </c:pt>
                <c:pt idx="21">
                  <c:v>2.25</c:v>
                </c:pt>
                <c:pt idx="22">
                  <c:v>2.5</c:v>
                </c:pt>
                <c:pt idx="23">
                  <c:v>2.75</c:v>
                </c:pt>
                <c:pt idx="24">
                  <c:v>3</c:v>
                </c:pt>
                <c:pt idx="25">
                  <c:v>3.25</c:v>
                </c:pt>
                <c:pt idx="26">
                  <c:v>3.5</c:v>
                </c:pt>
                <c:pt idx="27">
                  <c:v>3.75</c:v>
                </c:pt>
                <c:pt idx="28">
                  <c:v>4</c:v>
                </c:pt>
                <c:pt idx="29">
                  <c:v>4.25</c:v>
                </c:pt>
                <c:pt idx="30">
                  <c:v>4.5</c:v>
                </c:pt>
                <c:pt idx="31">
                  <c:v>4.75</c:v>
                </c:pt>
                <c:pt idx="32">
                  <c:v>5</c:v>
                </c:pt>
              </c:numCache>
            </c:numRef>
          </c:cat>
          <c:val>
            <c:numRef>
              <c:f>histogram500!$O$5:$O$37</c:f>
              <c:numCache>
                <c:formatCode>General</c:formatCode>
                <c:ptCount val="3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1</c:v>
                </c:pt>
                <c:pt idx="8">
                  <c:v>0</c:v>
                </c:pt>
                <c:pt idx="9">
                  <c:v>0</c:v>
                </c:pt>
                <c:pt idx="10">
                  <c:v>2</c:v>
                </c:pt>
                <c:pt idx="11">
                  <c:v>1</c:v>
                </c:pt>
                <c:pt idx="12">
                  <c:v>11</c:v>
                </c:pt>
                <c:pt idx="13">
                  <c:v>11</c:v>
                </c:pt>
                <c:pt idx="14">
                  <c:v>12</c:v>
                </c:pt>
                <c:pt idx="15">
                  <c:v>29</c:v>
                </c:pt>
                <c:pt idx="16">
                  <c:v>23</c:v>
                </c:pt>
                <c:pt idx="17">
                  <c:v>27</c:v>
                </c:pt>
                <c:pt idx="18">
                  <c:v>36</c:v>
                </c:pt>
                <c:pt idx="19">
                  <c:v>46</c:v>
                </c:pt>
                <c:pt idx="20">
                  <c:v>53</c:v>
                </c:pt>
                <c:pt idx="21">
                  <c:v>46</c:v>
                </c:pt>
                <c:pt idx="22">
                  <c:v>43</c:v>
                </c:pt>
                <c:pt idx="23">
                  <c:v>41</c:v>
                </c:pt>
                <c:pt idx="24">
                  <c:v>38</c:v>
                </c:pt>
                <c:pt idx="25">
                  <c:v>28</c:v>
                </c:pt>
                <c:pt idx="26">
                  <c:v>17</c:v>
                </c:pt>
                <c:pt idx="27">
                  <c:v>11</c:v>
                </c:pt>
                <c:pt idx="28">
                  <c:v>14</c:v>
                </c:pt>
                <c:pt idx="29">
                  <c:v>4</c:v>
                </c:pt>
                <c:pt idx="30">
                  <c:v>0</c:v>
                </c:pt>
                <c:pt idx="31">
                  <c:v>3</c:v>
                </c:pt>
                <c:pt idx="32">
                  <c:v>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25E3-4DEC-B164-B0A5821C878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axId val="157820592"/>
        <c:axId val="1"/>
      </c:barChart>
      <c:catAx>
        <c:axId val="15782059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ln>
            <a:noFill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Source Sans CAIM"/>
                <a:ea typeface="Calibri"/>
                <a:cs typeface="Calibri"/>
              </a:defRPr>
            </a:pPr>
            <a:endParaRPr lang="en-US"/>
          </a:p>
        </c:txPr>
        <c:crossAx val="1"/>
        <c:crosses val="autoZero"/>
        <c:auto val="1"/>
        <c:lblAlgn val="ctr"/>
        <c:lblOffset val="100"/>
        <c:tickMarkSkip val="1"/>
        <c:noMultiLvlLbl val="0"/>
      </c:catAx>
      <c:valAx>
        <c:axId val="1"/>
        <c:scaling>
          <c:orientation val="minMax"/>
        </c:scaling>
        <c:delete val="0"/>
        <c:axPos val="l"/>
        <c:numFmt formatCode="General" sourceLinked="1"/>
        <c:majorTickMark val="none"/>
        <c:minorTickMark val="none"/>
        <c:tickLblPos val="nextTo"/>
        <c:spPr>
          <a:ln>
            <a:noFill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Source Sans CAIM"/>
                <a:ea typeface="Source Sans CAIM Black" panose="020B0303030403090204" pitchFamily="34" charset="0"/>
                <a:cs typeface="Calibri"/>
              </a:defRPr>
            </a:pPr>
            <a:endParaRPr lang="en-US"/>
          </a:p>
        </c:txPr>
        <c:crossAx val="157820592"/>
        <c:crosses val="autoZero"/>
        <c:crossBetween val="between"/>
      </c:valAx>
      <c:spPr>
        <a:solidFill>
          <a:schemeClr val="bg1">
            <a:lumMod val="95000"/>
          </a:schemeClr>
        </a:solidFill>
      </c:spPr>
    </c:plotArea>
    <c:plotVisOnly val="1"/>
    <c:dispBlanksAs val="gap"/>
    <c:showDLblsOverMax val="0"/>
  </c:chart>
  <c:spPr>
    <a:solidFill>
      <a:schemeClr val="bg1">
        <a:lumMod val="95000"/>
      </a:schemeClr>
    </a:solidFill>
    <a:ln>
      <a:noFill/>
    </a:ln>
  </c:spPr>
  <c:txPr>
    <a:bodyPr/>
    <a:lstStyle/>
    <a:p>
      <a:pPr>
        <a:defRPr sz="1000" b="0" i="0" u="none" strike="noStrike" baseline="0">
          <a:solidFill>
            <a:srgbClr val="000000"/>
          </a:solidFill>
          <a:latin typeface="Calibri"/>
          <a:ea typeface="Calibri"/>
          <a:cs typeface="Calibri"/>
        </a:defRPr>
      </a:pPr>
      <a:endParaRPr lang="en-US"/>
    </a:p>
  </c:txPr>
  <c:printSettings>
    <c:headerFooter/>
    <c:pageMargins b="0.75" l="0.7" r="0.7" t="0.75" header="0.3" footer="0.3"/>
    <c:pageSetup/>
  </c:printSettings>
</c:chartSpace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_rels/drawing3.xml.rels><?xml version="1.0" encoding="UTF-8" standalone="yes"?>
<Relationships xmlns="http://schemas.openxmlformats.org/package/2006/relationships"><Relationship Id="rId2" Type="http://schemas.openxmlformats.org/officeDocument/2006/relationships/chart" Target="../charts/chart3.xml"/><Relationship Id="rId1" Type="http://schemas.openxmlformats.org/officeDocument/2006/relationships/chart" Target="../charts/chart2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0</xdr:colOff>
      <xdr:row>130</xdr:row>
      <xdr:rowOff>0</xdr:rowOff>
    </xdr:from>
    <xdr:to>
      <xdr:col>10</xdr:col>
      <xdr:colOff>511157</xdr:colOff>
      <xdr:row>152</xdr:row>
      <xdr:rowOff>7147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5CF59F2F-63C1-56FC-F74B-14152888982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268941" y="23308235"/>
          <a:ext cx="6466283" cy="3951618"/>
        </a:xfrm>
        <a:prstGeom prst="rect">
          <a:avLst/>
        </a:prstGeom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5</xdr:col>
      <xdr:colOff>127000</xdr:colOff>
      <xdr:row>4</xdr:row>
      <xdr:rowOff>19050</xdr:rowOff>
    </xdr:from>
    <xdr:to>
      <xdr:col>12</xdr:col>
      <xdr:colOff>431800</xdr:colOff>
      <xdr:row>18</xdr:row>
      <xdr:rowOff>95250</xdr:rowOff>
    </xdr:to>
    <xdr:graphicFrame macro="">
      <xdr:nvGraphicFramePr>
        <xdr:cNvPr id="2054" name="Chart 1">
          <a:extLst>
            <a:ext uri="{FF2B5EF4-FFF2-40B4-BE49-F238E27FC236}">
              <a16:creationId xmlns:a16="http://schemas.microsoft.com/office/drawing/2014/main" id="{8170418C-EFFD-58EA-5F0B-504FC1B77294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5</xdr:col>
      <xdr:colOff>127000</xdr:colOff>
      <xdr:row>4</xdr:row>
      <xdr:rowOff>19050</xdr:rowOff>
    </xdr:from>
    <xdr:to>
      <xdr:col>12</xdr:col>
      <xdr:colOff>431800</xdr:colOff>
      <xdr:row>18</xdr:row>
      <xdr:rowOff>95250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21246B07-D2D8-490B-A1B2-CB94FA2CDD19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15</xdr:col>
      <xdr:colOff>419100</xdr:colOff>
      <xdr:row>4</xdr:row>
      <xdr:rowOff>0</xdr:rowOff>
    </xdr:from>
    <xdr:to>
      <xdr:col>23</xdr:col>
      <xdr:colOff>142875</xdr:colOff>
      <xdr:row>18</xdr:row>
      <xdr:rowOff>76200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9B208FF3-BC39-4754-AEBA-976D6393A988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CAIM">
  <a:themeElements>
    <a:clrScheme name="CAIM">
      <a:dk1>
        <a:srgbClr val="2C2824"/>
      </a:dk1>
      <a:lt1>
        <a:srgbClr val="FFFFFF"/>
      </a:lt1>
      <a:dk2>
        <a:srgbClr val="D12E28"/>
      </a:dk2>
      <a:lt2>
        <a:srgbClr val="69B578"/>
      </a:lt2>
      <a:accent1>
        <a:srgbClr val="28264B"/>
      </a:accent1>
      <a:accent2>
        <a:srgbClr val="9A221D"/>
      </a:accent2>
      <a:accent3>
        <a:srgbClr val="707070"/>
      </a:accent3>
      <a:accent4>
        <a:srgbClr val="548BE9"/>
      </a:accent4>
      <a:accent5>
        <a:srgbClr val="82ACB3"/>
      </a:accent5>
      <a:accent6>
        <a:srgbClr val="E6BE8A"/>
      </a:accent6>
      <a:hlink>
        <a:srgbClr val="675D54"/>
      </a:hlink>
      <a:folHlink>
        <a:srgbClr val="9E9388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B2:Q127"/>
  <sheetViews>
    <sheetView showGridLines="0" tabSelected="1" topLeftCell="A7" zoomScale="85" zoomScaleNormal="85" workbookViewId="0">
      <selection activeCell="N9" sqref="N9"/>
    </sheetView>
  </sheetViews>
  <sheetFormatPr defaultColWidth="9.07421875" defaultRowHeight="14.15"/>
  <cols>
    <col min="1" max="1" width="3.765625" style="2" customWidth="1"/>
    <col min="2" max="2" width="9.3046875" style="2" bestFit="1" customWidth="1"/>
    <col min="3" max="5" width="9.4609375" style="2" bestFit="1" customWidth="1"/>
    <col min="6" max="6" width="9.07421875" style="2"/>
    <col min="7" max="11" width="9.3046875" style="2" bestFit="1" customWidth="1"/>
    <col min="12" max="12" width="9.07421875" style="2"/>
    <col min="13" max="13" width="10.69140625" style="2" customWidth="1"/>
    <col min="14" max="15" width="9.3046875" style="2" bestFit="1" customWidth="1"/>
    <col min="16" max="16384" width="9.07421875" style="2"/>
  </cols>
  <sheetData>
    <row r="2" spans="2:15">
      <c r="B2" s="22" t="s">
        <v>0</v>
      </c>
      <c r="C2" s="22" t="s">
        <v>1</v>
      </c>
      <c r="D2" s="22" t="s">
        <v>2</v>
      </c>
      <c r="E2" s="22" t="s">
        <v>3</v>
      </c>
    </row>
    <row r="3" spans="2:15">
      <c r="B3" s="3" t="s">
        <v>4</v>
      </c>
      <c r="C3" s="4">
        <v>0.02</v>
      </c>
      <c r="D3" s="4">
        <v>0.03</v>
      </c>
      <c r="E3" s="4">
        <v>0.09</v>
      </c>
      <c r="F3" s="5"/>
    </row>
    <row r="4" spans="2:15">
      <c r="B4" s="3" t="s">
        <v>5</v>
      </c>
      <c r="C4" s="4">
        <v>0.01</v>
      </c>
      <c r="D4" s="4">
        <v>0.04</v>
      </c>
      <c r="E4" s="4">
        <v>0.15</v>
      </c>
      <c r="F4" s="5"/>
    </row>
    <row r="6" spans="2:15" s="6" customFormat="1">
      <c r="C6" s="6" t="s">
        <v>6</v>
      </c>
      <c r="H6" s="6" t="s">
        <v>11</v>
      </c>
    </row>
    <row r="7" spans="2:15">
      <c r="B7" s="22"/>
      <c r="C7" s="22" t="str">
        <f t="array" ref="C7:E7">assetnames</f>
        <v>Cash</v>
      </c>
      <c r="D7" s="22" t="str">
        <v>Bonds</v>
      </c>
      <c r="E7" s="22" t="str">
        <v>Stocks</v>
      </c>
      <c r="G7" s="1"/>
      <c r="H7" s="22" t="str">
        <f t="array" ref="H7:J7">assetnames</f>
        <v>Cash</v>
      </c>
      <c r="I7" s="22" t="str">
        <v>Bonds</v>
      </c>
      <c r="J7" s="22" t="str">
        <v>Stocks</v>
      </c>
    </row>
    <row r="8" spans="2:15">
      <c r="B8" s="22" t="str">
        <f t="array" ref="B8:B10">TRANSPOSE(assetnames)</f>
        <v>Cash</v>
      </c>
      <c r="C8" s="7">
        <v>1</v>
      </c>
      <c r="D8" s="7">
        <v>0.9</v>
      </c>
      <c r="E8" s="7">
        <v>0.7</v>
      </c>
      <c r="F8" s="8"/>
      <c r="G8" s="22" t="str">
        <f t="array" ref="G8:G10">TRANSPOSE(assetnames)</f>
        <v>Cash</v>
      </c>
      <c r="H8" s="26">
        <f t="array" ref="H8:J10">CorrAdj(corrs)</f>
        <v>1</v>
      </c>
      <c r="I8" s="26">
        <v>0.9</v>
      </c>
      <c r="J8" s="26">
        <v>0.70000000000000007</v>
      </c>
      <c r="K8" s="9"/>
    </row>
    <row r="9" spans="2:15">
      <c r="B9" s="22" t="str">
        <v>Bonds</v>
      </c>
      <c r="C9" s="7">
        <v>0.9</v>
      </c>
      <c r="D9" s="7">
        <v>1</v>
      </c>
      <c r="E9" s="7">
        <v>0.4</v>
      </c>
      <c r="F9" s="8"/>
      <c r="G9" s="22" t="str">
        <v>Bonds</v>
      </c>
      <c r="H9" s="26">
        <v>0.9</v>
      </c>
      <c r="I9" s="26">
        <v>1</v>
      </c>
      <c r="J9" s="26">
        <v>0.4000000000000003</v>
      </c>
      <c r="K9" s="9"/>
    </row>
    <row r="10" spans="2:15">
      <c r="B10" s="22" t="str">
        <v>Stocks</v>
      </c>
      <c r="C10" s="7">
        <v>0.7</v>
      </c>
      <c r="D10" s="7">
        <v>0.4</v>
      </c>
      <c r="E10" s="7">
        <v>1</v>
      </c>
      <c r="F10" s="8"/>
      <c r="G10" s="22" t="str">
        <v>Stocks</v>
      </c>
      <c r="H10" s="26">
        <v>0.70000000000000007</v>
      </c>
      <c r="I10" s="26">
        <v>0.4000000000000003</v>
      </c>
      <c r="J10" s="26">
        <v>0.99999999999999978</v>
      </c>
      <c r="K10" s="9"/>
    </row>
    <row r="12" spans="2:15" s="6" customFormat="1">
      <c r="C12" s="6" t="s">
        <v>7</v>
      </c>
      <c r="H12" s="6" t="s">
        <v>12</v>
      </c>
    </row>
    <row r="13" spans="2:15">
      <c r="B13" s="10"/>
      <c r="C13" s="7">
        <f t="array" ref="C13:E15">CholeskyDecomp(corrs)</f>
        <v>1</v>
      </c>
      <c r="D13" s="7">
        <v>0</v>
      </c>
      <c r="E13" s="7">
        <v>0</v>
      </c>
      <c r="H13" s="26">
        <f t="array" ref="H13:J15">CholeskyDecomp(adjcorrs)</f>
        <v>1</v>
      </c>
      <c r="I13" s="26">
        <v>0</v>
      </c>
      <c r="J13" s="26">
        <v>0</v>
      </c>
    </row>
    <row r="14" spans="2:15">
      <c r="B14" s="10"/>
      <c r="C14" s="7">
        <v>0.9</v>
      </c>
      <c r="D14" s="7">
        <v>0.43588989435406728</v>
      </c>
      <c r="E14" s="7">
        <v>0</v>
      </c>
      <c r="H14" s="26">
        <v>0.9</v>
      </c>
      <c r="I14" s="26">
        <v>0.43588989435406728</v>
      </c>
      <c r="J14" s="26">
        <v>0</v>
      </c>
    </row>
    <row r="15" spans="2:15">
      <c r="B15" s="11"/>
      <c r="C15" s="7">
        <v>0.7</v>
      </c>
      <c r="D15" s="7">
        <v>-0.52765618790229207</v>
      </c>
      <c r="E15" s="7">
        <v>0.48122650318578786</v>
      </c>
      <c r="H15" s="26">
        <v>0.70000000000000007</v>
      </c>
      <c r="I15" s="26">
        <v>-0.52765618790229174</v>
      </c>
      <c r="J15" s="26">
        <v>0.48122650318578808</v>
      </c>
    </row>
    <row r="16" spans="2:15">
      <c r="C16" s="8"/>
      <c r="D16" s="8"/>
      <c r="E16" s="8"/>
      <c r="H16" s="8"/>
      <c r="I16" s="8"/>
      <c r="J16" s="8"/>
      <c r="M16" s="12">
        <v>1</v>
      </c>
      <c r="N16" s="12">
        <v>2</v>
      </c>
      <c r="O16" s="12">
        <v>3</v>
      </c>
    </row>
    <row r="17" spans="2:17">
      <c r="C17" s="6" t="s">
        <v>14</v>
      </c>
      <c r="H17" s="13" t="s">
        <v>15</v>
      </c>
      <c r="I17" s="14"/>
      <c r="J17" s="14"/>
      <c r="L17" s="6"/>
      <c r="M17" s="6" t="s">
        <v>10</v>
      </c>
      <c r="N17" s="6"/>
      <c r="O17" s="6"/>
      <c r="P17" s="6"/>
    </row>
    <row r="18" spans="2:17">
      <c r="B18" s="1"/>
      <c r="C18" s="22">
        <v>1</v>
      </c>
      <c r="D18" s="22">
        <v>2</v>
      </c>
      <c r="E18" s="22">
        <v>3</v>
      </c>
      <c r="F18" s="12"/>
      <c r="G18" s="1"/>
      <c r="H18" s="22">
        <v>1</v>
      </c>
      <c r="I18" s="22">
        <v>2</v>
      </c>
      <c r="J18" s="22">
        <v>3</v>
      </c>
      <c r="L18" s="1"/>
      <c r="M18" s="22" t="str">
        <f t="array" ref="M18:O18">assetnames</f>
        <v>Cash</v>
      </c>
      <c r="N18" s="22" t="str">
        <v>Bonds</v>
      </c>
      <c r="O18" s="22" t="str">
        <v>Stocks</v>
      </c>
    </row>
    <row r="19" spans="2:17">
      <c r="B19" s="22">
        <v>1</v>
      </c>
      <c r="C19" s="7">
        <f t="shared" ref="C19:E21" ca="1" si="0">CORREL(INDEX(rands,,C$18),INDEX(rands,,$K19))</f>
        <v>1</v>
      </c>
      <c r="D19" s="7">
        <f t="shared" ca="1" si="0"/>
        <v>1.8197648544126543E-2</v>
      </c>
      <c r="E19" s="7">
        <f t="shared" ca="1" si="0"/>
        <v>-9.6895018131121308E-2</v>
      </c>
      <c r="F19" s="8"/>
      <c r="G19" s="22">
        <v>1</v>
      </c>
      <c r="H19" s="7">
        <f t="shared" ref="H19:J21" ca="1" si="1">CORREL(INDEX(randscorrel,,H$18),INDEX(randscorrel,,$K19))</f>
        <v>1</v>
      </c>
      <c r="I19" s="7">
        <f t="shared" ca="1" si="1"/>
        <v>0.90770313831756122</v>
      </c>
      <c r="J19" s="7">
        <f t="shared" ca="1" si="1"/>
        <v>0.64317865452432776</v>
      </c>
      <c r="K19" s="15">
        <v>1</v>
      </c>
      <c r="L19" s="22" t="str">
        <f t="array" ref="L19:L21">TRANSPOSE(assetnames)</f>
        <v>Cash</v>
      </c>
      <c r="M19" s="7">
        <f t="shared" ref="M19:O21" ca="1" si="2">CORREL(INDEX(simreturns,,M$16),INDEX(simreturns,,$K19))</f>
        <v>1</v>
      </c>
      <c r="N19" s="7">
        <f t="shared" ca="1" si="2"/>
        <v>0.90770313831756089</v>
      </c>
      <c r="O19" s="7">
        <f t="shared" ca="1" si="2"/>
        <v>0.64317865452432843</v>
      </c>
    </row>
    <row r="20" spans="2:17">
      <c r="B20" s="22">
        <v>2</v>
      </c>
      <c r="C20" s="7">
        <f t="shared" ca="1" si="0"/>
        <v>1.8197648544126543E-2</v>
      </c>
      <c r="D20" s="7">
        <f t="shared" ca="1" si="0"/>
        <v>1</v>
      </c>
      <c r="E20" s="7">
        <f t="shared" ca="1" si="0"/>
        <v>-0.12019322847581439</v>
      </c>
      <c r="F20" s="8"/>
      <c r="G20" s="22">
        <v>2</v>
      </c>
      <c r="H20" s="7">
        <f t="shared" ca="1" si="1"/>
        <v>0.90770313831756122</v>
      </c>
      <c r="I20" s="7">
        <f t="shared" ca="1" si="1"/>
        <v>1</v>
      </c>
      <c r="J20" s="7">
        <f t="shared" ca="1" si="1"/>
        <v>0.34426319677961575</v>
      </c>
      <c r="K20" s="15">
        <v>2</v>
      </c>
      <c r="L20" s="22" t="str">
        <v>Bonds</v>
      </c>
      <c r="M20" s="7">
        <f t="shared" ca="1" si="2"/>
        <v>0.90770313831756089</v>
      </c>
      <c r="N20" s="7">
        <f t="shared" ca="1" si="2"/>
        <v>1</v>
      </c>
      <c r="O20" s="7">
        <f t="shared" ca="1" si="2"/>
        <v>0.34426319677961559</v>
      </c>
    </row>
    <row r="21" spans="2:17">
      <c r="B21" s="22">
        <v>3</v>
      </c>
      <c r="C21" s="7">
        <f t="shared" ca="1" si="0"/>
        <v>-9.6895018131121308E-2</v>
      </c>
      <c r="D21" s="7">
        <f t="shared" ca="1" si="0"/>
        <v>-0.12019322847581439</v>
      </c>
      <c r="E21" s="7">
        <f t="shared" ca="1" si="0"/>
        <v>1.0000000000000002</v>
      </c>
      <c r="F21" s="8"/>
      <c r="G21" s="22">
        <v>3</v>
      </c>
      <c r="H21" s="7">
        <f t="shared" ca="1" si="1"/>
        <v>0.64317865452432776</v>
      </c>
      <c r="I21" s="7">
        <f t="shared" ca="1" si="1"/>
        <v>0.34426319677961575</v>
      </c>
      <c r="J21" s="7">
        <f t="shared" ca="1" si="1"/>
        <v>1</v>
      </c>
      <c r="K21" s="15">
        <v>3</v>
      </c>
      <c r="L21" s="22" t="str">
        <v>Stocks</v>
      </c>
      <c r="M21" s="7">
        <f t="shared" ca="1" si="2"/>
        <v>0.64317865452432843</v>
      </c>
      <c r="N21" s="7">
        <f t="shared" ca="1" si="2"/>
        <v>0.34426319677961559</v>
      </c>
      <c r="O21" s="7">
        <f t="shared" ca="1" si="2"/>
        <v>1.0000000000000002</v>
      </c>
    </row>
    <row r="22" spans="2:17">
      <c r="B22" s="23"/>
      <c r="C22" s="15"/>
      <c r="D22" s="15"/>
      <c r="E22" s="15"/>
      <c r="F22" s="15"/>
      <c r="G22" s="15"/>
      <c r="H22" s="15"/>
      <c r="I22" s="15"/>
      <c r="J22" s="15"/>
      <c r="K22" s="15"/>
      <c r="L22" s="15"/>
      <c r="M22" s="15"/>
      <c r="N22" s="15"/>
      <c r="O22" s="15"/>
      <c r="P22" s="15"/>
      <c r="Q22" s="15"/>
    </row>
    <row r="23" spans="2:17">
      <c r="C23" s="22">
        <v>1</v>
      </c>
      <c r="D23" s="22">
        <v>2</v>
      </c>
      <c r="E23" s="22">
        <v>3</v>
      </c>
      <c r="F23" s="12"/>
      <c r="G23" s="12"/>
      <c r="H23" s="22">
        <v>1</v>
      </c>
      <c r="I23" s="22">
        <v>2</v>
      </c>
      <c r="J23" s="22">
        <v>3</v>
      </c>
      <c r="M23" s="22" t="str">
        <f t="array" ref="M23:O23">assetnames</f>
        <v>Cash</v>
      </c>
      <c r="N23" s="22" t="str">
        <v>Bonds</v>
      </c>
      <c r="O23" s="22" t="str">
        <v>Stocks</v>
      </c>
    </row>
    <row r="24" spans="2:17">
      <c r="B24" s="3" t="s">
        <v>4</v>
      </c>
      <c r="C24" s="16">
        <f ca="1">AVERAGE(C28:C127)</f>
        <v>6.574183918259216E-2</v>
      </c>
      <c r="D24" s="16">
        <f ca="1">AVERAGE(D28:D127)</f>
        <v>3.4162012653513013E-2</v>
      </c>
      <c r="E24" s="16">
        <f ca="1">AVERAGE(E28:E127)</f>
        <v>6.0025189031286778E-2</v>
      </c>
      <c r="F24" s="17"/>
      <c r="G24" s="3" t="s">
        <v>4</v>
      </c>
      <c r="H24" s="16">
        <f ca="1">AVERAGE(H28:H127)</f>
        <v>6.574183918259216E-2</v>
      </c>
      <c r="I24" s="16">
        <f ca="1">AVERAGE(I28:I127)</f>
        <v>7.4058531350795029E-2</v>
      </c>
      <c r="J24" s="16">
        <f ca="1">AVERAGE(J28:J127)</f>
        <v>5.6879201880584013E-2</v>
      </c>
      <c r="K24" s="17"/>
      <c r="L24" s="3" t="s">
        <v>4</v>
      </c>
      <c r="M24" s="18">
        <f ca="1">AVERAGE(M28:M127)</f>
        <v>2.065741839182593E-2</v>
      </c>
      <c r="N24" s="18">
        <f ca="1">AVERAGE(N28:N127)</f>
        <v>3.2962341254031802E-2</v>
      </c>
      <c r="O24" s="18">
        <f ca="1">AVERAGE(O28:O127)</f>
        <v>9.8531880282087633E-2</v>
      </c>
    </row>
    <row r="25" spans="2:17">
      <c r="B25" s="3" t="s">
        <v>5</v>
      </c>
      <c r="C25" s="16">
        <f ca="1">STDEV(C28:C127)</f>
        <v>0.95733266328483468</v>
      </c>
      <c r="D25" s="16">
        <f ca="1">STDEV(D28:D127)</f>
        <v>0.92166917000705151</v>
      </c>
      <c r="E25" s="16">
        <f ca="1">STDEV(E28:E127)</f>
        <v>1.0236311625565582</v>
      </c>
      <c r="F25" s="17"/>
      <c r="G25" s="3" t="s">
        <v>5</v>
      </c>
      <c r="H25" s="16">
        <f ca="1">STDEV(H28:H127)</f>
        <v>0.95733266328483468</v>
      </c>
      <c r="I25" s="16">
        <f ca="1">STDEV(I28:I127)</f>
        <v>0.95726256507415008</v>
      </c>
      <c r="J25" s="16">
        <f ca="1">STDEV(J28:J127)</f>
        <v>0.95393801314982263</v>
      </c>
      <c r="K25" s="17"/>
      <c r="L25" s="3" t="s">
        <v>5</v>
      </c>
      <c r="M25" s="18">
        <f ca="1">STDEV(M28:M127)</f>
        <v>9.5733266328483398E-3</v>
      </c>
      <c r="N25" s="18">
        <f ca="1">STDEV(N28:N127)</f>
        <v>3.8290502602966008E-2</v>
      </c>
      <c r="O25" s="18">
        <f ca="1">STDEV(O28:O127)</f>
        <v>0.14309070197247331</v>
      </c>
    </row>
    <row r="27" spans="2:17" s="6" customFormat="1">
      <c r="C27" s="6" t="s">
        <v>8</v>
      </c>
      <c r="H27" s="6" t="s">
        <v>13</v>
      </c>
      <c r="M27" s="6" t="s">
        <v>9</v>
      </c>
    </row>
    <row r="28" spans="2:17">
      <c r="B28" s="12">
        <v>1</v>
      </c>
      <c r="C28" s="19">
        <f ca="1">NORMSINV(RAND())</f>
        <v>-1.6665893675390611</v>
      </c>
      <c r="D28" s="19">
        <f t="shared" ref="D28:E43" ca="1" si="3">NORMSINV(RAND())</f>
        <v>5.4419370469198383E-2</v>
      </c>
      <c r="E28" s="19">
        <f t="shared" ca="1" si="3"/>
        <v>-7.4341307400698955E-2</v>
      </c>
      <c r="F28" s="20"/>
      <c r="H28" s="19">
        <f t="array" aca="1" ref="H28:J28" ca="1">TRANSPOSE(MMULT(adjchol,TRANSPOSE(C28:E28)))</f>
        <v>-1.6665893675390611</v>
      </c>
      <c r="I28" s="19">
        <f ca="1"/>
        <v>-1.4762095771405213</v>
      </c>
      <c r="J28" s="19">
        <f ca="1"/>
        <v>-1.2311022822498607</v>
      </c>
      <c r="K28" s="20"/>
      <c r="M28" s="21">
        <f t="shared" ref="M28:M91" ca="1" si="4">C$3+H28*C$4</f>
        <v>3.3341063246093879E-3</v>
      </c>
      <c r="N28" s="21">
        <f t="shared" ref="N28:N91" ca="1" si="5">D$3+I28*D$4</f>
        <v>-2.9048383085620855E-2</v>
      </c>
      <c r="O28" s="21">
        <f t="shared" ref="O28:O91" ca="1" si="6">E$3+J28*E$4</f>
        <v>-9.4665342337479114E-2</v>
      </c>
    </row>
    <row r="29" spans="2:17">
      <c r="B29" s="12">
        <v>2</v>
      </c>
      <c r="C29" s="19">
        <f t="shared" ref="C29:E92" ca="1" si="7">NORMSINV(RAND())</f>
        <v>0.53425964020165262</v>
      </c>
      <c r="D29" s="19">
        <f t="shared" ca="1" si="3"/>
        <v>0.41906965499773602</v>
      </c>
      <c r="E29" s="19">
        <f t="shared" ca="1" si="3"/>
        <v>0.46023591279068921</v>
      </c>
      <c r="F29" s="20"/>
      <c r="H29" s="19">
        <f t="array" aca="1" ref="H29:J29" ca="1">TRANSPOSE(MMULT(adjchol,TRANSPOSE(C29:E29)))</f>
        <v>0.53425964020165262</v>
      </c>
      <c r="I29" s="19">
        <f ca="1"/>
        <v>0.66350190382544594</v>
      </c>
      <c r="J29" s="19">
        <f ca="1"/>
        <v>0.37433477047230557</v>
      </c>
      <c r="K29" s="20"/>
      <c r="M29" s="21">
        <f t="shared" ca="1" si="4"/>
        <v>2.5342596402016526E-2</v>
      </c>
      <c r="N29" s="21">
        <f t="shared" ca="1" si="5"/>
        <v>5.6540076153017836E-2</v>
      </c>
      <c r="O29" s="21">
        <f t="shared" ca="1" si="6"/>
        <v>0.14615021557084584</v>
      </c>
    </row>
    <row r="30" spans="2:17">
      <c r="B30" s="12">
        <v>3</v>
      </c>
      <c r="C30" s="19">
        <f t="shared" ca="1" si="7"/>
        <v>0.41383994941024055</v>
      </c>
      <c r="D30" s="19">
        <f t="shared" ca="1" si="3"/>
        <v>-1.2024427039823471</v>
      </c>
      <c r="E30" s="19">
        <f t="shared" ca="1" si="3"/>
        <v>0.7288311539632274</v>
      </c>
      <c r="F30" s="20"/>
      <c r="H30" s="19">
        <f t="array" aca="1" ref="H30:J30" ca="1">TRANSPOSE(MMULT(adjchol,TRANSPOSE(C30:E30)))</f>
        <v>0.41383994941024055</v>
      </c>
      <c r="I30" s="19">
        <f ca="1"/>
        <v>-0.15167666873646773</v>
      </c>
      <c r="J30" s="19">
        <f ca="1"/>
        <v>1.2748971655760042</v>
      </c>
      <c r="K30" s="20"/>
      <c r="M30" s="21">
        <f t="shared" ca="1" si="4"/>
        <v>2.4138399494102406E-2</v>
      </c>
      <c r="N30" s="21">
        <f t="shared" ca="1" si="5"/>
        <v>2.3932933250541289E-2</v>
      </c>
      <c r="O30" s="21">
        <f t="shared" ca="1" si="6"/>
        <v>0.28123457483640063</v>
      </c>
    </row>
    <row r="31" spans="2:17">
      <c r="B31" s="12">
        <v>4</v>
      </c>
      <c r="C31" s="19">
        <f t="shared" ca="1" si="7"/>
        <v>0.49312962924628367</v>
      </c>
      <c r="D31" s="19">
        <f t="shared" ca="1" si="3"/>
        <v>0.22797922636097928</v>
      </c>
      <c r="E31" s="19">
        <f t="shared" ca="1" si="3"/>
        <v>1.4538139377098018</v>
      </c>
      <c r="F31" s="20"/>
      <c r="H31" s="19">
        <f t="array" aca="1" ref="H31:J31" ca="1">TRANSPOSE(MMULT(adjchol,TRANSPOSE(C31:E31)))</f>
        <v>0.49312962924628367</v>
      </c>
      <c r="I31" s="19">
        <f ca="1"/>
        <v>0.54319050721506457</v>
      </c>
      <c r="J31" s="19">
        <f ca="1"/>
        <v>0.92450988849669968</v>
      </c>
      <c r="K31" s="20"/>
      <c r="M31" s="21">
        <f t="shared" ca="1" si="4"/>
        <v>2.4931296292462837E-2</v>
      </c>
      <c r="N31" s="21">
        <f t="shared" ca="1" si="5"/>
        <v>5.1727620288602581E-2</v>
      </c>
      <c r="O31" s="21">
        <f t="shared" ca="1" si="6"/>
        <v>0.22867648327450493</v>
      </c>
    </row>
    <row r="32" spans="2:17">
      <c r="B32" s="12">
        <v>5</v>
      </c>
      <c r="C32" s="19">
        <f t="shared" ca="1" si="7"/>
        <v>-0.52450434699468984</v>
      </c>
      <c r="D32" s="19">
        <f t="shared" ca="1" si="3"/>
        <v>6.1652557076907907E-2</v>
      </c>
      <c r="E32" s="19">
        <f t="shared" ca="1" si="3"/>
        <v>0.6523406312544664</v>
      </c>
      <c r="F32" s="20"/>
      <c r="H32" s="19">
        <f t="array" aca="1" ref="H32:J32" ca="1">TRANSPOSE(MMULT(adjchol,TRANSPOSE(C32:E32)))</f>
        <v>-0.52450434699468984</v>
      </c>
      <c r="I32" s="19">
        <f ca="1"/>
        <v>-0.44518018570430939</v>
      </c>
      <c r="J32" s="19">
        <f ca="1"/>
        <v>-8.5760795273316148E-2</v>
      </c>
      <c r="K32" s="20"/>
      <c r="M32" s="21">
        <f t="shared" ca="1" si="4"/>
        <v>1.4754956530053102E-2</v>
      </c>
      <c r="N32" s="21">
        <f t="shared" ca="1" si="5"/>
        <v>1.2192792571827624E-2</v>
      </c>
      <c r="O32" s="21">
        <f t="shared" ca="1" si="6"/>
        <v>7.7135880709002569E-2</v>
      </c>
    </row>
    <row r="33" spans="2:15">
      <c r="B33" s="12">
        <v>6</v>
      </c>
      <c r="C33" s="19">
        <f t="shared" ca="1" si="7"/>
        <v>0.51733175235677342</v>
      </c>
      <c r="D33" s="19">
        <f t="shared" ca="1" si="3"/>
        <v>0.6345303772825599</v>
      </c>
      <c r="E33" s="19">
        <f t="shared" ca="1" si="3"/>
        <v>0.70365959519633114</v>
      </c>
      <c r="F33" s="20"/>
      <c r="H33" s="19">
        <f t="array" aca="1" ref="H33:J33" ca="1">TRANSPOSE(MMULT(adjchol,TRANSPOSE(C33:E33)))</f>
        <v>0.51733175235677342</v>
      </c>
      <c r="I33" s="19">
        <f ca="1"/>
        <v>0.74218395623923761</v>
      </c>
      <c r="J33" s="19">
        <f ca="1"/>
        <v>0.36593799309408048</v>
      </c>
      <c r="K33" s="20"/>
      <c r="M33" s="21">
        <f t="shared" ca="1" si="4"/>
        <v>2.5173317523567735E-2</v>
      </c>
      <c r="N33" s="21">
        <f t="shared" ca="1" si="5"/>
        <v>5.96873582495695E-2</v>
      </c>
      <c r="O33" s="21">
        <f t="shared" ca="1" si="6"/>
        <v>0.14489069896411205</v>
      </c>
    </row>
    <row r="34" spans="2:15">
      <c r="B34" s="12">
        <v>7</v>
      </c>
      <c r="C34" s="19">
        <f t="shared" ca="1" si="7"/>
        <v>0.15346987325612635</v>
      </c>
      <c r="D34" s="19">
        <f t="shared" ca="1" si="3"/>
        <v>0.17581832637555345</v>
      </c>
      <c r="E34" s="19">
        <f t="shared" ca="1" si="3"/>
        <v>0.34556546524349724</v>
      </c>
      <c r="F34" s="20"/>
      <c r="H34" s="19">
        <f t="array" aca="1" ref="H34:J34" ca="1">TRANSPOSE(MMULT(adjchol,TRANSPOSE(C34:E34)))</f>
        <v>0.15346987325612635</v>
      </c>
      <c r="I34" s="19">
        <f ca="1"/>
        <v>0.21476031763986264</v>
      </c>
      <c r="J34" s="19">
        <f ca="1"/>
        <v>0.18095254388150112</v>
      </c>
      <c r="K34" s="20"/>
      <c r="M34" s="21">
        <f t="shared" ca="1" si="4"/>
        <v>2.1534698732561263E-2</v>
      </c>
      <c r="N34" s="21">
        <f t="shared" ca="1" si="5"/>
        <v>3.8590412705594504E-2</v>
      </c>
      <c r="O34" s="21">
        <f t="shared" ca="1" si="6"/>
        <v>0.11714288158222516</v>
      </c>
    </row>
    <row r="35" spans="2:15">
      <c r="B35" s="12">
        <v>8</v>
      </c>
      <c r="C35" s="19">
        <f t="shared" ca="1" si="7"/>
        <v>-0.57451743034597191</v>
      </c>
      <c r="D35" s="19">
        <f t="shared" ca="1" si="3"/>
        <v>0.70879709994247153</v>
      </c>
      <c r="E35" s="19">
        <f t="shared" ca="1" si="3"/>
        <v>0.16246701354390655</v>
      </c>
      <c r="F35" s="20"/>
      <c r="H35" s="19">
        <f t="array" aca="1" ref="H35:J35" ca="1">TRANSPOSE(MMULT(adjchol,TRANSPOSE(C35:E35)))</f>
        <v>-0.57451743034597191</v>
      </c>
      <c r="I35" s="19">
        <f ca="1"/>
        <v>-0.20810819429898153</v>
      </c>
      <c r="J35" s="19">
        <f ca="1"/>
        <v>-0.69797994418325238</v>
      </c>
      <c r="K35" s="20"/>
      <c r="M35" s="21">
        <f t="shared" ca="1" si="4"/>
        <v>1.4254825696540281E-2</v>
      </c>
      <c r="N35" s="21">
        <f t="shared" ca="1" si="5"/>
        <v>2.1675672228040739E-2</v>
      </c>
      <c r="O35" s="21">
        <f t="shared" ca="1" si="6"/>
        <v>-1.469699162748786E-2</v>
      </c>
    </row>
    <row r="36" spans="2:15">
      <c r="B36" s="12">
        <v>9</v>
      </c>
      <c r="C36" s="19">
        <f t="shared" ca="1" si="7"/>
        <v>0.7640431885703779</v>
      </c>
      <c r="D36" s="19">
        <f t="shared" ca="1" si="3"/>
        <v>0.87146921484437012</v>
      </c>
      <c r="E36" s="19">
        <f t="shared" ca="1" si="3"/>
        <v>0.51321201349399659</v>
      </c>
      <c r="F36" s="20"/>
      <c r="H36" s="19">
        <f t="array" aca="1" ref="H36:J36" ca="1">TRANSPOSE(MMULT(adjchol,TRANSPOSE(C36:E36)))</f>
        <v>0.7640431885703779</v>
      </c>
      <c r="I36" s="19">
        <f ca="1"/>
        <v>1.0675034937046746</v>
      </c>
      <c r="J36" s="19">
        <f ca="1"/>
        <v>0.32196533086693446</v>
      </c>
      <c r="K36" s="20"/>
      <c r="M36" s="21">
        <f t="shared" ca="1" si="4"/>
        <v>2.7640431885703781E-2</v>
      </c>
      <c r="N36" s="21">
        <f t="shared" ca="1" si="5"/>
        <v>7.2700139748186982E-2</v>
      </c>
      <c r="O36" s="21">
        <f t="shared" ca="1" si="6"/>
        <v>0.13829479963004015</v>
      </c>
    </row>
    <row r="37" spans="2:15">
      <c r="B37" s="12">
        <v>10</v>
      </c>
      <c r="C37" s="19">
        <f t="shared" ca="1" si="7"/>
        <v>0.46300137792678514</v>
      </c>
      <c r="D37" s="19">
        <f t="shared" ca="1" si="3"/>
        <v>1.5288319498718701</v>
      </c>
      <c r="E37" s="19">
        <f t="shared" ca="1" si="3"/>
        <v>1.0722060886125457</v>
      </c>
      <c r="F37" s="20"/>
      <c r="H37" s="19">
        <f t="array" aca="1" ref="H37:J37" ca="1">TRANSPOSE(MMULT(adjchol,TRANSPOSE(C37:E37)))</f>
        <v>0.46300137792678514</v>
      </c>
      <c r="I37" s="19">
        <f ca="1"/>
        <v>1.0831036372488787</v>
      </c>
      <c r="J37" s="19">
        <f ca="1"/>
        <v>3.3377312653657676E-2</v>
      </c>
      <c r="K37" s="20"/>
      <c r="M37" s="21">
        <f t="shared" ca="1" si="4"/>
        <v>2.4630013779267851E-2</v>
      </c>
      <c r="N37" s="21">
        <f t="shared" ca="1" si="5"/>
        <v>7.3324145489955139E-2</v>
      </c>
      <c r="O37" s="21">
        <f t="shared" ca="1" si="6"/>
        <v>9.5006596898048648E-2</v>
      </c>
    </row>
    <row r="38" spans="2:15">
      <c r="B38" s="12">
        <v>11</v>
      </c>
      <c r="C38" s="19">
        <f t="shared" ca="1" si="7"/>
        <v>1.8932608585618526E-3</v>
      </c>
      <c r="D38" s="19">
        <f t="shared" ca="1" si="3"/>
        <v>-0.87513451748528137</v>
      </c>
      <c r="E38" s="19">
        <f t="shared" ca="1" si="3"/>
        <v>0.10523169803158491</v>
      </c>
      <c r="F38" s="20"/>
      <c r="H38" s="19">
        <f t="array" aca="1" ref="H38:J38" ca="1">TRANSPOSE(MMULT(adjchol,TRANSPOSE(C38:E38)))</f>
        <v>1.8932608585618526E-3</v>
      </c>
      <c r="I38" s="19">
        <f ca="1"/>
        <v>-0.37975835759955129</v>
      </c>
      <c r="J38" s="19">
        <f ca="1"/>
        <v>0.51373570806703073</v>
      </c>
      <c r="K38" s="20"/>
      <c r="M38" s="21">
        <f t="shared" ca="1" si="4"/>
        <v>2.0018932608585619E-2</v>
      </c>
      <c r="N38" s="21">
        <f t="shared" ca="1" si="5"/>
        <v>1.4809665696017948E-2</v>
      </c>
      <c r="O38" s="21">
        <f t="shared" ca="1" si="6"/>
        <v>0.16706035621005461</v>
      </c>
    </row>
    <row r="39" spans="2:15">
      <c r="B39" s="12">
        <v>12</v>
      </c>
      <c r="C39" s="19">
        <f t="shared" ca="1" si="7"/>
        <v>-0.22460682323148817</v>
      </c>
      <c r="D39" s="19">
        <f t="shared" ca="1" si="3"/>
        <v>-2.0389885332221969</v>
      </c>
      <c r="E39" s="19">
        <f t="shared" ca="1" si="3"/>
        <v>0.89767409238755536</v>
      </c>
      <c r="F39" s="20"/>
      <c r="H39" s="19">
        <f t="array" aca="1" ref="H39:J39" ca="1">TRANSPOSE(MMULT(adjchol,TRANSPOSE(C39:E39)))</f>
        <v>-0.22460682323148817</v>
      </c>
      <c r="I39" s="19">
        <f ca="1"/>
        <v>-1.0909206372437172</v>
      </c>
      <c r="J39" s="19">
        <f ca="1"/>
        <v>1.3506447048346071</v>
      </c>
      <c r="K39" s="20"/>
      <c r="M39" s="21">
        <f t="shared" ca="1" si="4"/>
        <v>1.7753931767685117E-2</v>
      </c>
      <c r="N39" s="21">
        <f t="shared" ca="1" si="5"/>
        <v>-1.3636825489748691E-2</v>
      </c>
      <c r="O39" s="21">
        <f t="shared" ca="1" si="6"/>
        <v>0.29259670572519103</v>
      </c>
    </row>
    <row r="40" spans="2:15">
      <c r="B40" s="12">
        <v>13</v>
      </c>
      <c r="C40" s="19">
        <f t="shared" ca="1" si="7"/>
        <v>0.18006699545252655</v>
      </c>
      <c r="D40" s="19">
        <f t="shared" ca="1" si="3"/>
        <v>-0.83822553444295445</v>
      </c>
      <c r="E40" s="19">
        <f t="shared" ca="1" si="3"/>
        <v>-1.5297896659428427</v>
      </c>
      <c r="F40" s="20"/>
      <c r="H40" s="19">
        <f t="array" aca="1" ref="H40:J40" ca="1">TRANSPOSE(MMULT(adjchol,TRANSPOSE(C40:E40)))</f>
        <v>0.18006699545252655</v>
      </c>
      <c r="I40" s="19">
        <f ca="1"/>
        <v>-0.20331374374594713</v>
      </c>
      <c r="J40" s="19">
        <f ca="1"/>
        <v>-0.16783354462813005</v>
      </c>
      <c r="K40" s="20"/>
      <c r="M40" s="21">
        <f t="shared" ca="1" si="4"/>
        <v>2.1800669954525266E-2</v>
      </c>
      <c r="N40" s="21">
        <f t="shared" ca="1" si="5"/>
        <v>2.1867450250162113E-2</v>
      </c>
      <c r="O40" s="21">
        <f t="shared" ca="1" si="6"/>
        <v>6.4824968305780495E-2</v>
      </c>
    </row>
    <row r="41" spans="2:15">
      <c r="B41" s="12">
        <v>14</v>
      </c>
      <c r="C41" s="19">
        <f t="shared" ca="1" si="7"/>
        <v>1.4348635188961785</v>
      </c>
      <c r="D41" s="19">
        <f t="shared" ca="1" si="3"/>
        <v>1.4320995383622022</v>
      </c>
      <c r="E41" s="19">
        <f t="shared" ca="1" si="3"/>
        <v>1.3679428860660663</v>
      </c>
      <c r="F41" s="20"/>
      <c r="H41" s="19">
        <f t="array" aca="1" ref="H41:J41" ca="1">TRANSPOSE(MMULT(adjchol,TRANSPOSE(C41:E41)))</f>
        <v>1.4348635188961785</v>
      </c>
      <c r="I41" s="19">
        <f ca="1"/>
        <v>1.9156148834877693</v>
      </c>
      <c r="J41" s="19">
        <f ca="1"/>
        <v>0.90703865173794163</v>
      </c>
      <c r="K41" s="20"/>
      <c r="M41" s="21">
        <f t="shared" ca="1" si="4"/>
        <v>3.4348635188961786E-2</v>
      </c>
      <c r="N41" s="21">
        <f t="shared" ca="1" si="5"/>
        <v>0.10662459533951077</v>
      </c>
      <c r="O41" s="21">
        <f t="shared" ca="1" si="6"/>
        <v>0.22605579776069123</v>
      </c>
    </row>
    <row r="42" spans="2:15">
      <c r="B42" s="12">
        <v>15</v>
      </c>
      <c r="C42" s="19">
        <f t="shared" ca="1" si="7"/>
        <v>0.87245431813917218</v>
      </c>
      <c r="D42" s="19">
        <f t="shared" ca="1" si="3"/>
        <v>-0.73757320814042404</v>
      </c>
      <c r="E42" s="19">
        <f t="shared" ca="1" si="3"/>
        <v>-0.58840209670115984</v>
      </c>
      <c r="F42" s="20"/>
      <c r="H42" s="19">
        <f t="array" aca="1" ref="H42:J42" ca="1">TRANSPOSE(MMULT(adjchol,TRANSPOSE(C42:E42)))</f>
        <v>0.87245431813917218</v>
      </c>
      <c r="I42" s="19">
        <f ca="1"/>
        <v>0.46370817855053509</v>
      </c>
      <c r="J42" s="19">
        <f ca="1"/>
        <v>0.71674840654097527</v>
      </c>
      <c r="K42" s="20"/>
      <c r="M42" s="21">
        <f t="shared" ca="1" si="4"/>
        <v>2.8724543181391723E-2</v>
      </c>
      <c r="N42" s="21">
        <f t="shared" ca="1" si="5"/>
        <v>4.8548327142021404E-2</v>
      </c>
      <c r="O42" s="21">
        <f t="shared" ca="1" si="6"/>
        <v>0.19751226098114627</v>
      </c>
    </row>
    <row r="43" spans="2:15">
      <c r="B43" s="12">
        <v>16</v>
      </c>
      <c r="C43" s="19">
        <f t="shared" ca="1" si="7"/>
        <v>-0.4520809660276941</v>
      </c>
      <c r="D43" s="19">
        <f t="shared" ca="1" si="3"/>
        <v>2.0167170960306707E-2</v>
      </c>
      <c r="E43" s="19">
        <f t="shared" ca="1" si="3"/>
        <v>0.45761698602830614</v>
      </c>
      <c r="F43" s="20"/>
      <c r="H43" s="19">
        <f t="array" aca="1" ref="H43:J43" ca="1">TRANSPOSE(MMULT(adjchol,TRANSPOSE(C43:E43)))</f>
        <v>-0.4520809660276941</v>
      </c>
      <c r="I43" s="19">
        <f ca="1"/>
        <v>-0.39808220340561618</v>
      </c>
      <c r="J43" s="19">
        <f ca="1"/>
        <v>-0.10688058678425372</v>
      </c>
      <c r="K43" s="20"/>
      <c r="M43" s="21">
        <f t="shared" ca="1" si="4"/>
        <v>1.5479190339723059E-2</v>
      </c>
      <c r="N43" s="21">
        <f t="shared" ca="1" si="5"/>
        <v>1.4076711863775352E-2</v>
      </c>
      <c r="O43" s="21">
        <f t="shared" ca="1" si="6"/>
        <v>7.3967911982361939E-2</v>
      </c>
    </row>
    <row r="44" spans="2:15">
      <c r="B44" s="12">
        <v>17</v>
      </c>
      <c r="C44" s="19">
        <f t="shared" ca="1" si="7"/>
        <v>2.3300452662161932</v>
      </c>
      <c r="D44" s="19">
        <f t="shared" ca="1" si="7"/>
        <v>-0.89849010539576513</v>
      </c>
      <c r="E44" s="19">
        <f t="shared" ca="1" si="7"/>
        <v>-6.5998722691603839E-2</v>
      </c>
      <c r="F44" s="20"/>
      <c r="H44" s="19">
        <f t="array" aca="1" ref="H44:J44" ca="1">TRANSPOSE(MMULT(adjchol,TRANSPOSE(C44:E44)))</f>
        <v>2.3300452662161932</v>
      </c>
      <c r="I44" s="19">
        <f ca="1"/>
        <v>1.7053979824754391</v>
      </c>
      <c r="J44" s="19">
        <f ca="1"/>
        <v>2.0733652156967839</v>
      </c>
      <c r="K44" s="20"/>
      <c r="M44" s="21">
        <f t="shared" ca="1" si="4"/>
        <v>4.3300452662161933E-2</v>
      </c>
      <c r="N44" s="21">
        <f t="shared" ca="1" si="5"/>
        <v>9.8215919299017559E-2</v>
      </c>
      <c r="O44" s="21">
        <f t="shared" ca="1" si="6"/>
        <v>0.40100478235451753</v>
      </c>
    </row>
    <row r="45" spans="2:15">
      <c r="B45" s="12">
        <v>18</v>
      </c>
      <c r="C45" s="19">
        <f t="shared" ca="1" si="7"/>
        <v>0.52645922356881991</v>
      </c>
      <c r="D45" s="19">
        <f t="shared" ca="1" si="7"/>
        <v>1.445420648219208</v>
      </c>
      <c r="E45" s="19">
        <f t="shared" ca="1" si="7"/>
        <v>0.83154121299175709</v>
      </c>
      <c r="F45" s="20"/>
      <c r="H45" s="19">
        <f t="array" aca="1" ref="H45:J45" ca="1">TRANSPOSE(MMULT(adjchol,TRANSPOSE(C45:E45)))</f>
        <v>0.52645922356881991</v>
      </c>
      <c r="I45" s="19">
        <f ca="1"/>
        <v>1.103857554861396</v>
      </c>
      <c r="J45" s="19">
        <f ca="1"/>
        <v>5.9959775264591397E-3</v>
      </c>
      <c r="K45" s="20"/>
      <c r="M45" s="21">
        <f t="shared" ca="1" si="4"/>
        <v>2.5264592235688201E-2</v>
      </c>
      <c r="N45" s="21">
        <f t="shared" ca="1" si="5"/>
        <v>7.4154302194455846E-2</v>
      </c>
      <c r="O45" s="21">
        <f t="shared" ca="1" si="6"/>
        <v>9.089939662896887E-2</v>
      </c>
    </row>
    <row r="46" spans="2:15">
      <c r="B46" s="12">
        <v>19</v>
      </c>
      <c r="C46" s="19">
        <f t="shared" ca="1" si="7"/>
        <v>0.34113747604740408</v>
      </c>
      <c r="D46" s="19">
        <f t="shared" ca="1" si="7"/>
        <v>0.22233781435021915</v>
      </c>
      <c r="E46" s="19">
        <f t="shared" ca="1" si="7"/>
        <v>0.81725255032252564</v>
      </c>
      <c r="F46" s="20"/>
      <c r="H46" s="19">
        <f t="array" aca="1" ref="H46:J46" ca="1">TRANSPOSE(MMULT(adjchol,TRANSPOSE(C46:E46)))</f>
        <v>0.34113747604740408</v>
      </c>
      <c r="I46" s="19">
        <f ca="1"/>
        <v>0.40393853485069492</v>
      </c>
      <c r="J46" s="19">
        <f ca="1"/>
        <v>0.5147618966979951</v>
      </c>
      <c r="K46" s="20"/>
      <c r="M46" s="21">
        <f t="shared" ca="1" si="4"/>
        <v>2.341137476047404E-2</v>
      </c>
      <c r="N46" s="21">
        <f t="shared" ca="1" si="5"/>
        <v>4.6157541394027793E-2</v>
      </c>
      <c r="O46" s="21">
        <f t="shared" ca="1" si="6"/>
        <v>0.16721428450469927</v>
      </c>
    </row>
    <row r="47" spans="2:15">
      <c r="B47" s="12">
        <v>20</v>
      </c>
      <c r="C47" s="19">
        <f t="shared" ca="1" si="7"/>
        <v>-0.78531082034155342</v>
      </c>
      <c r="D47" s="19">
        <f t="shared" ca="1" si="7"/>
        <v>-0.11811858499510236</v>
      </c>
      <c r="E47" s="19">
        <f t="shared" ca="1" si="7"/>
        <v>0.14662991563620884</v>
      </c>
      <c r="F47" s="20"/>
      <c r="H47" s="19">
        <f t="array" aca="1" ref="H47:J47" ca="1">TRANSPOSE(MMULT(adjchol,TRANSPOSE(C47:E47)))</f>
        <v>-0.78531082034155342</v>
      </c>
      <c r="I47" s="19">
        <f ca="1"/>
        <v>-0.75826643584216513</v>
      </c>
      <c r="J47" s="19">
        <f ca="1"/>
        <v>-0.416829370396119</v>
      </c>
      <c r="K47" s="20"/>
      <c r="M47" s="21">
        <f t="shared" ca="1" si="4"/>
        <v>1.2146891796584467E-2</v>
      </c>
      <c r="N47" s="21">
        <f t="shared" ca="1" si="5"/>
        <v>-3.3065743368660555E-4</v>
      </c>
      <c r="O47" s="21">
        <f t="shared" ca="1" si="6"/>
        <v>2.7475594440582146E-2</v>
      </c>
    </row>
    <row r="48" spans="2:15">
      <c r="B48" s="12">
        <v>21</v>
      </c>
      <c r="C48" s="19">
        <f t="shared" ca="1" si="7"/>
        <v>-1.2083615956429612</v>
      </c>
      <c r="D48" s="19">
        <f t="shared" ca="1" si="7"/>
        <v>0.1387126571383494</v>
      </c>
      <c r="E48" s="19">
        <f t="shared" ca="1" si="7"/>
        <v>-0.66577054533876401</v>
      </c>
      <c r="F48" s="20"/>
      <c r="H48" s="19">
        <f t="array" aca="1" ref="H48:J48" ca="1">TRANSPOSE(MMULT(adjchol,TRANSPOSE(C48:E48)))</f>
        <v>-1.2083615956429612</v>
      </c>
      <c r="I48" s="19">
        <f ca="1"/>
        <v>-1.027061990613058</v>
      </c>
      <c r="J48" s="19">
        <f ca="1"/>
        <v>-1.2394321402869606</v>
      </c>
      <c r="K48" s="20"/>
      <c r="M48" s="21">
        <f t="shared" ca="1" si="4"/>
        <v>7.9163840435703889E-3</v>
      </c>
      <c r="N48" s="21">
        <f t="shared" ca="1" si="5"/>
        <v>-1.1082479624522322E-2</v>
      </c>
      <c r="O48" s="21">
        <f t="shared" ca="1" si="6"/>
        <v>-9.591482104304408E-2</v>
      </c>
    </row>
    <row r="49" spans="2:15">
      <c r="B49" s="12">
        <v>22</v>
      </c>
      <c r="C49" s="19">
        <f t="shared" ca="1" si="7"/>
        <v>-1.4113442562228986</v>
      </c>
      <c r="D49" s="19">
        <f t="shared" ca="1" si="7"/>
        <v>-0.44862961425983622</v>
      </c>
      <c r="E49" s="19">
        <f t="shared" ca="1" si="7"/>
        <v>-0.28914728034803339</v>
      </c>
      <c r="F49" s="20"/>
      <c r="H49" s="19">
        <f t="array" aca="1" ref="H49:J49" ca="1">TRANSPOSE(MMULT(adjchol,TRANSPOSE(C49:E49)))</f>
        <v>-1.4113442562228986</v>
      </c>
      <c r="I49" s="19">
        <f ca="1"/>
        <v>-1.4657629457644348</v>
      </c>
      <c r="J49" s="19">
        <f ca="1"/>
        <v>-0.89036412194317316</v>
      </c>
      <c r="K49" s="20"/>
      <c r="M49" s="21">
        <f t="shared" ca="1" si="4"/>
        <v>5.8865574377710145E-3</v>
      </c>
      <c r="N49" s="21">
        <f t="shared" ca="1" si="5"/>
        <v>-2.8630517830577393E-2</v>
      </c>
      <c r="O49" s="21">
        <f t="shared" ca="1" si="6"/>
        <v>-4.3554618291475972E-2</v>
      </c>
    </row>
    <row r="50" spans="2:15">
      <c r="B50" s="12">
        <v>23</v>
      </c>
      <c r="C50" s="19">
        <f t="shared" ca="1" si="7"/>
        <v>-0.80690400690122421</v>
      </c>
      <c r="D50" s="19">
        <f t="shared" ca="1" si="7"/>
        <v>-0.13901400576410194</v>
      </c>
      <c r="E50" s="19">
        <f t="shared" ca="1" si="7"/>
        <v>-0.50217455247291487</v>
      </c>
      <c r="F50" s="20"/>
      <c r="H50" s="19">
        <f t="array" aca="1" ref="H50:J50" ca="1">TRANSPOSE(MMULT(adjchol,TRANSPOSE(C50:E50)))</f>
        <v>-0.80690400690122421</v>
      </c>
      <c r="I50" s="19">
        <f ca="1"/>
        <v>-0.78680840649735184</v>
      </c>
      <c r="J50" s="19">
        <f ca="1"/>
        <v>-0.73314090835977264</v>
      </c>
      <c r="K50" s="20"/>
      <c r="M50" s="21">
        <f t="shared" ca="1" si="4"/>
        <v>1.1930959930987759E-2</v>
      </c>
      <c r="N50" s="21">
        <f t="shared" ca="1" si="5"/>
        <v>-1.4723362598940762E-3</v>
      </c>
      <c r="O50" s="21">
        <f t="shared" ca="1" si="6"/>
        <v>-1.997113625396589E-2</v>
      </c>
    </row>
    <row r="51" spans="2:15">
      <c r="B51" s="12">
        <v>24</v>
      </c>
      <c r="C51" s="19">
        <f t="shared" ca="1" si="7"/>
        <v>5.0196837256424265E-2</v>
      </c>
      <c r="D51" s="19">
        <f t="shared" ca="1" si="7"/>
        <v>-1.6096954212839176</v>
      </c>
      <c r="E51" s="19">
        <f t="shared" ca="1" si="7"/>
        <v>-2.6226179694518197</v>
      </c>
      <c r="F51" s="20"/>
      <c r="H51" s="19">
        <f t="array" aca="1" ref="H51:J51" ca="1">TRANSPOSE(MMULT(adjchol,TRANSPOSE(C51:E51)))</f>
        <v>5.0196837256424265E-2</v>
      </c>
      <c r="I51" s="19">
        <f ca="1"/>
        <v>-0.65647281359489074</v>
      </c>
      <c r="J51" s="19">
        <f ca="1"/>
        <v>-0.37756973887356859</v>
      </c>
      <c r="K51" s="20"/>
      <c r="M51" s="21">
        <f t="shared" ca="1" si="4"/>
        <v>2.0501968372564242E-2</v>
      </c>
      <c r="N51" s="21">
        <f t="shared" ca="1" si="5"/>
        <v>3.74108745620437E-3</v>
      </c>
      <c r="O51" s="21">
        <f t="shared" ca="1" si="6"/>
        <v>3.3364539168964709E-2</v>
      </c>
    </row>
    <row r="52" spans="2:15">
      <c r="B52" s="12">
        <v>25</v>
      </c>
      <c r="C52" s="19">
        <f t="shared" ca="1" si="7"/>
        <v>-1.8819574660665749E-3</v>
      </c>
      <c r="D52" s="19">
        <f t="shared" ca="1" si="7"/>
        <v>0.16888961105130887</v>
      </c>
      <c r="E52" s="19">
        <f t="shared" ca="1" si="7"/>
        <v>-0.28566070478519073</v>
      </c>
      <c r="F52" s="20"/>
      <c r="H52" s="19">
        <f t="array" aca="1" ref="H52:J52" ca="1">TRANSPOSE(MMULT(adjchol,TRANSPOSE(C52:E52)))</f>
        <v>-1.8819574660665749E-3</v>
      </c>
      <c r="I52" s="19">
        <f ca="1"/>
        <v>7.1923512999194611E-2</v>
      </c>
      <c r="J52" s="19">
        <f ca="1"/>
        <v>-0.22790052063124605</v>
      </c>
      <c r="K52" s="20"/>
      <c r="M52" s="21">
        <f t="shared" ca="1" si="4"/>
        <v>1.9981180425339334E-2</v>
      </c>
      <c r="N52" s="21">
        <f t="shared" ca="1" si="5"/>
        <v>3.2876940519967784E-2</v>
      </c>
      <c r="O52" s="21">
        <f t="shared" ca="1" si="6"/>
        <v>5.5814921905313092E-2</v>
      </c>
    </row>
    <row r="53" spans="2:15">
      <c r="B53" s="12">
        <v>26</v>
      </c>
      <c r="C53" s="19">
        <f t="shared" ca="1" si="7"/>
        <v>0.71938930780726995</v>
      </c>
      <c r="D53" s="19">
        <f t="shared" ca="1" si="7"/>
        <v>-0.80845293493396764</v>
      </c>
      <c r="E53" s="19">
        <f t="shared" ca="1" si="7"/>
        <v>1.3542542081270073</v>
      </c>
      <c r="F53" s="20"/>
      <c r="H53" s="19">
        <f t="array" aca="1" ref="H53:J53" ca="1">TRANSPOSE(MMULT(adjchol,TRANSPOSE(C53:E53)))</f>
        <v>0.71938930780726995</v>
      </c>
      <c r="I53" s="19">
        <f ca="1"/>
        <v>0.29505391262794017</v>
      </c>
      <c r="J53" s="19">
        <f ca="1"/>
        <v>1.5818607262123638</v>
      </c>
      <c r="K53" s="20"/>
      <c r="M53" s="21">
        <f t="shared" ca="1" si="4"/>
        <v>2.7193893078072701E-2</v>
      </c>
      <c r="N53" s="21">
        <f t="shared" ca="1" si="5"/>
        <v>4.1802156505117607E-2</v>
      </c>
      <c r="O53" s="21">
        <f t="shared" ca="1" si="6"/>
        <v>0.32727910893185452</v>
      </c>
    </row>
    <row r="54" spans="2:15">
      <c r="B54" s="12">
        <v>27</v>
      </c>
      <c r="C54" s="19">
        <f t="shared" ca="1" si="7"/>
        <v>1.5904075011144703</v>
      </c>
      <c r="D54" s="19">
        <f t="shared" ca="1" si="7"/>
        <v>-1.4744119257606758</v>
      </c>
      <c r="E54" s="19">
        <f t="shared" ca="1" si="7"/>
        <v>-0.69000229809089109</v>
      </c>
      <c r="F54" s="20"/>
      <c r="H54" s="19">
        <f t="array" aca="1" ref="H54:J54" ca="1">TRANSPOSE(MMULT(adjchol,TRANSPOSE(C54:E54)))</f>
        <v>1.5904075011144703</v>
      </c>
      <c r="I54" s="19">
        <f ca="1"/>
        <v>0.78868549244882535</v>
      </c>
      <c r="J54" s="19">
        <f ca="1"/>
        <v>1.559220433824247</v>
      </c>
      <c r="K54" s="20"/>
      <c r="M54" s="21">
        <f t="shared" ca="1" si="4"/>
        <v>3.5904075011144704E-2</v>
      </c>
      <c r="N54" s="21">
        <f t="shared" ca="1" si="5"/>
        <v>6.1547419697953014E-2</v>
      </c>
      <c r="O54" s="21">
        <f t="shared" ca="1" si="6"/>
        <v>0.32388306507363707</v>
      </c>
    </row>
    <row r="55" spans="2:15">
      <c r="B55" s="12">
        <v>28</v>
      </c>
      <c r="C55" s="19">
        <f t="shared" ca="1" si="7"/>
        <v>0.52209075395362703</v>
      </c>
      <c r="D55" s="19">
        <f t="shared" ca="1" si="7"/>
        <v>0.77742415193268466</v>
      </c>
      <c r="E55" s="19">
        <f t="shared" ca="1" si="7"/>
        <v>-0.16315475412450131</v>
      </c>
      <c r="F55" s="20"/>
      <c r="H55" s="19">
        <f t="array" aca="1" ref="H55:J55" ca="1">TRANSPOSE(MMULT(adjchol,TRANSPOSE(C55:E55)))</f>
        <v>0.52209075395362703</v>
      </c>
      <c r="I55" s="19">
        <f ca="1"/>
        <v>0.80875301001250266</v>
      </c>
      <c r="J55" s="19">
        <f ca="1"/>
        <v>-0.12326352842990433</v>
      </c>
      <c r="K55" s="20"/>
      <c r="M55" s="21">
        <f t="shared" ca="1" si="4"/>
        <v>2.5220907539536271E-2</v>
      </c>
      <c r="N55" s="21">
        <f t="shared" ca="1" si="5"/>
        <v>6.2350120400500107E-2</v>
      </c>
      <c r="O55" s="21">
        <f t="shared" ca="1" si="6"/>
        <v>7.151047073551435E-2</v>
      </c>
    </row>
    <row r="56" spans="2:15">
      <c r="B56" s="12">
        <v>29</v>
      </c>
      <c r="C56" s="19">
        <f t="shared" ca="1" si="7"/>
        <v>0.34709460493291522</v>
      </c>
      <c r="D56" s="19">
        <f t="shared" ca="1" si="7"/>
        <v>0.56023387126759039</v>
      </c>
      <c r="E56" s="19">
        <f t="shared" ca="1" si="7"/>
        <v>0.38487534503437887</v>
      </c>
      <c r="F56" s="20"/>
      <c r="H56" s="19">
        <f t="array" aca="1" ref="H56:J56" ca="1">TRANSPOSE(MMULT(adjchol,TRANSPOSE(C56:E56)))</f>
        <v>0.34709460493291522</v>
      </c>
      <c r="I56" s="19">
        <f ca="1"/>
        <v>0.55658542740002381</v>
      </c>
      <c r="J56" s="19">
        <f ca="1"/>
        <v>0.13256757105955849</v>
      </c>
      <c r="K56" s="20"/>
      <c r="M56" s="21">
        <f t="shared" ca="1" si="4"/>
        <v>2.3470946049329151E-2</v>
      </c>
      <c r="N56" s="21">
        <f t="shared" ca="1" si="5"/>
        <v>5.226341709600095E-2</v>
      </c>
      <c r="O56" s="21">
        <f t="shared" ca="1" si="6"/>
        <v>0.10988513565893376</v>
      </c>
    </row>
    <row r="57" spans="2:15">
      <c r="B57" s="12">
        <v>30</v>
      </c>
      <c r="C57" s="19">
        <f t="shared" ca="1" si="7"/>
        <v>-0.52285362107659894</v>
      </c>
      <c r="D57" s="19">
        <f t="shared" ca="1" si="7"/>
        <v>0.4252331063065945</v>
      </c>
      <c r="E57" s="19">
        <f t="shared" ca="1" si="7"/>
        <v>-0.176128574735367</v>
      </c>
      <c r="F57" s="20"/>
      <c r="H57" s="19">
        <f t="array" aca="1" ref="H57:J57" ca="1">TRANSPOSE(MMULT(adjchol,TRANSPOSE(C57:E57)))</f>
        <v>-0.52285362107659894</v>
      </c>
      <c r="I57" s="19">
        <f ca="1"/>
        <v>-0.28521344518510572</v>
      </c>
      <c r="J57" s="19">
        <f ca="1"/>
        <v>-0.67513215272820437</v>
      </c>
      <c r="K57" s="20"/>
      <c r="M57" s="21">
        <f t="shared" ca="1" si="4"/>
        <v>1.477146378923401E-2</v>
      </c>
      <c r="N57" s="21">
        <f t="shared" ca="1" si="5"/>
        <v>1.8591462192595769E-2</v>
      </c>
      <c r="O57" s="21">
        <f t="shared" ca="1" si="6"/>
        <v>-1.1269822909230662E-2</v>
      </c>
    </row>
    <row r="58" spans="2:15">
      <c r="B58" s="12">
        <v>31</v>
      </c>
      <c r="C58" s="19">
        <f t="shared" ca="1" si="7"/>
        <v>-0.97523208030637532</v>
      </c>
      <c r="D58" s="19">
        <f t="shared" ca="1" si="7"/>
        <v>1.8649423930797095</v>
      </c>
      <c r="E58" s="19">
        <f t="shared" ca="1" si="7"/>
        <v>-0.81847063178033341</v>
      </c>
      <c r="F58" s="20"/>
      <c r="H58" s="19">
        <f t="array" aca="1" ref="H58:J58" ca="1">TRANSPOSE(MMULT(adjchol,TRANSPOSE(C58:E58)))</f>
        <v>-0.97523208030637532</v>
      </c>
      <c r="I58" s="19">
        <f ca="1"/>
        <v>-6.4799329579801834E-2</v>
      </c>
      <c r="J58" s="19">
        <f ca="1"/>
        <v>-2.0605806100961921</v>
      </c>
      <c r="K58" s="20"/>
      <c r="M58" s="21">
        <f t="shared" ca="1" si="4"/>
        <v>1.0247679196936248E-2</v>
      </c>
      <c r="N58" s="21">
        <f t="shared" ca="1" si="5"/>
        <v>2.7408026816807925E-2</v>
      </c>
      <c r="O58" s="21">
        <f t="shared" ca="1" si="6"/>
        <v>-0.21908709151442882</v>
      </c>
    </row>
    <row r="59" spans="2:15">
      <c r="B59" s="12">
        <v>32</v>
      </c>
      <c r="C59" s="19">
        <f t="shared" ca="1" si="7"/>
        <v>1.9977599949158451</v>
      </c>
      <c r="D59" s="19">
        <f t="shared" ca="1" si="7"/>
        <v>0.85843526693388328</v>
      </c>
      <c r="E59" s="19">
        <f t="shared" ca="1" si="7"/>
        <v>0.42629997295269234</v>
      </c>
      <c r="F59" s="20"/>
      <c r="H59" s="19">
        <f t="array" aca="1" ref="H59:J59" ca="1">TRANSPOSE(MMULT(adjchol,TRANSPOSE(C59:E59)))</f>
        <v>1.9977599949158451</v>
      </c>
      <c r="I59" s="19">
        <f ca="1"/>
        <v>2.1721672532378768</v>
      </c>
      <c r="J59" s="19">
        <f ca="1"/>
        <v>1.1506201612220925</v>
      </c>
      <c r="K59" s="20"/>
      <c r="M59" s="21">
        <f t="shared" ca="1" si="4"/>
        <v>3.9977599949158449E-2</v>
      </c>
      <c r="N59" s="21">
        <f t="shared" ca="1" si="5"/>
        <v>0.11688669012951508</v>
      </c>
      <c r="O59" s="21">
        <f t="shared" ca="1" si="6"/>
        <v>0.26259302418331387</v>
      </c>
    </row>
    <row r="60" spans="2:15">
      <c r="B60" s="12">
        <v>33</v>
      </c>
      <c r="C60" s="19">
        <f t="shared" ca="1" si="7"/>
        <v>0.29584708308339969</v>
      </c>
      <c r="D60" s="19">
        <f t="shared" ca="1" si="7"/>
        <v>1.536250697098791</v>
      </c>
      <c r="E60" s="19">
        <f t="shared" ca="1" si="7"/>
        <v>1.4137426654405914</v>
      </c>
      <c r="F60" s="20"/>
      <c r="H60" s="19">
        <f t="array" aca="1" ref="H60:J60" ca="1">TRANSPOSE(MMULT(adjchol,TRANSPOSE(C60:E60)))</f>
        <v>0.29584708308339969</v>
      </c>
      <c r="I60" s="19">
        <f ca="1"/>
        <v>0.93589852883481384</v>
      </c>
      <c r="J60" s="19">
        <f ca="1"/>
        <v>7.6811210959524701E-2</v>
      </c>
      <c r="K60" s="20"/>
      <c r="M60" s="21">
        <f t="shared" ca="1" si="4"/>
        <v>2.2958470830833997E-2</v>
      </c>
      <c r="N60" s="21">
        <f t="shared" ca="1" si="5"/>
        <v>6.7435941153392548E-2</v>
      </c>
      <c r="O60" s="21">
        <f t="shared" ca="1" si="6"/>
        <v>0.1015216816439287</v>
      </c>
    </row>
    <row r="61" spans="2:15">
      <c r="B61" s="12">
        <v>34</v>
      </c>
      <c r="C61" s="19">
        <f t="shared" ca="1" si="7"/>
        <v>-0.33448675710574483</v>
      </c>
      <c r="D61" s="19">
        <f t="shared" ca="1" si="7"/>
        <v>0.39655115979574312</v>
      </c>
      <c r="E61" s="19">
        <f t="shared" ca="1" si="7"/>
        <v>1.3095430096719403</v>
      </c>
      <c r="F61" s="20"/>
      <c r="H61" s="19">
        <f t="array" aca="1" ref="H61:J61" ca="1">TRANSPOSE(MMULT(adjchol,TRANSPOSE(C61:E61)))</f>
        <v>-0.33448675710574483</v>
      </c>
      <c r="I61" s="19">
        <f ca="1"/>
        <v>-0.12818543824582104</v>
      </c>
      <c r="J61" s="19">
        <f ca="1"/>
        <v>0.18680340005574469</v>
      </c>
      <c r="K61" s="20"/>
      <c r="M61" s="21">
        <f t="shared" ca="1" si="4"/>
        <v>1.6655132428942551E-2</v>
      </c>
      <c r="N61" s="21">
        <f t="shared" ca="1" si="5"/>
        <v>2.4872582470167156E-2</v>
      </c>
      <c r="O61" s="21">
        <f t="shared" ca="1" si="6"/>
        <v>0.1180205100083617</v>
      </c>
    </row>
    <row r="62" spans="2:15">
      <c r="B62" s="12">
        <v>35</v>
      </c>
      <c r="C62" s="19">
        <f t="shared" ca="1" si="7"/>
        <v>1.2167238197891421</v>
      </c>
      <c r="D62" s="19">
        <f t="shared" ca="1" si="7"/>
        <v>0.25156783971721725</v>
      </c>
      <c r="E62" s="19">
        <f t="shared" ca="1" si="7"/>
        <v>-0.83000666933876455</v>
      </c>
      <c r="F62" s="20"/>
      <c r="H62" s="19">
        <f t="array" aca="1" ref="H62:J62" ca="1">TRANSPOSE(MMULT(adjchol,TRANSPOSE(C62:E62)))</f>
        <v>1.2167238197891421</v>
      </c>
      <c r="I62" s="19">
        <f ca="1"/>
        <v>1.2047073168874467</v>
      </c>
      <c r="J62" s="19">
        <f ca="1"/>
        <v>0.31954413944162174</v>
      </c>
      <c r="K62" s="20"/>
      <c r="M62" s="21">
        <f t="shared" ca="1" si="4"/>
        <v>3.2167238197891426E-2</v>
      </c>
      <c r="N62" s="21">
        <f t="shared" ca="1" si="5"/>
        <v>7.8188292675497872E-2</v>
      </c>
      <c r="O62" s="21">
        <f t="shared" ca="1" si="6"/>
        <v>0.13793162091624325</v>
      </c>
    </row>
    <row r="63" spans="2:15">
      <c r="B63" s="12">
        <v>36</v>
      </c>
      <c r="C63" s="19">
        <f t="shared" ca="1" si="7"/>
        <v>-0.20132270219885054</v>
      </c>
      <c r="D63" s="19">
        <f t="shared" ca="1" si="7"/>
        <v>0.84332791136655827</v>
      </c>
      <c r="E63" s="19">
        <f t="shared" ca="1" si="7"/>
        <v>0.25427624910119334</v>
      </c>
      <c r="F63" s="20"/>
      <c r="H63" s="19">
        <f t="array" aca="1" ref="H63:J63" ca="1">TRANSPOSE(MMULT(adjchol,TRANSPOSE(C63:E63)))</f>
        <v>-0.20132270219885054</v>
      </c>
      <c r="I63" s="19">
        <f ca="1"/>
        <v>0.18640768221243983</v>
      </c>
      <c r="J63" s="19">
        <f ca="1"/>
        <v>-0.46354861220430965</v>
      </c>
      <c r="K63" s="20"/>
      <c r="M63" s="21">
        <f t="shared" ca="1" si="4"/>
        <v>1.7986772978011496E-2</v>
      </c>
      <c r="N63" s="21">
        <f t="shared" ca="1" si="5"/>
        <v>3.7456307288497595E-2</v>
      </c>
      <c r="O63" s="21">
        <f t="shared" ca="1" si="6"/>
        <v>2.0467708169353546E-2</v>
      </c>
    </row>
    <row r="64" spans="2:15">
      <c r="B64" s="12">
        <v>37</v>
      </c>
      <c r="C64" s="19">
        <f t="shared" ca="1" si="7"/>
        <v>0.82102379789163182</v>
      </c>
      <c r="D64" s="19">
        <f t="shared" ca="1" si="7"/>
        <v>1.2321611023151402</v>
      </c>
      <c r="E64" s="19">
        <f t="shared" ca="1" si="7"/>
        <v>-2.7784308981878421</v>
      </c>
      <c r="F64" s="20"/>
      <c r="H64" s="19">
        <f t="array" aca="1" ref="H64:J64" ca="1">TRANSPOSE(MMULT(adjchol,TRANSPOSE(C64:E64)))</f>
        <v>0.82102379789163182</v>
      </c>
      <c r="I64" s="19">
        <f ca="1"/>
        <v>1.2760079908178064</v>
      </c>
      <c r="J64" s="19">
        <f ca="1"/>
        <v>-1.4124953570832339</v>
      </c>
      <c r="K64" s="20"/>
      <c r="M64" s="21">
        <f t="shared" ca="1" si="4"/>
        <v>2.8210237978916319E-2</v>
      </c>
      <c r="N64" s="21">
        <f t="shared" ca="1" si="5"/>
        <v>8.1040319632712257E-2</v>
      </c>
      <c r="O64" s="21">
        <f t="shared" ca="1" si="6"/>
        <v>-0.12187430356248508</v>
      </c>
    </row>
    <row r="65" spans="2:15">
      <c r="B65" s="12">
        <v>38</v>
      </c>
      <c r="C65" s="19">
        <f t="shared" ca="1" si="7"/>
        <v>-0.24629159203100864</v>
      </c>
      <c r="D65" s="19">
        <f t="shared" ca="1" si="7"/>
        <v>0.64681426687386057</v>
      </c>
      <c r="E65" s="19">
        <f t="shared" ca="1" si="7"/>
        <v>1.6018802072378071</v>
      </c>
      <c r="F65" s="20"/>
      <c r="H65" s="19">
        <f t="array" aca="1" ref="H65:J65" ca="1">TRANSPOSE(MMULT(adjchol,TRANSPOSE(C65:E65)))</f>
        <v>-0.24629159203100864</v>
      </c>
      <c r="I65" s="19">
        <f ca="1"/>
        <v>6.0277369626442784E-2</v>
      </c>
      <c r="J65" s="19">
        <f ca="1"/>
        <v>0.25716754589039259</v>
      </c>
      <c r="K65" s="20"/>
      <c r="M65" s="21">
        <f t="shared" ca="1" si="4"/>
        <v>1.7537084079689916E-2</v>
      </c>
      <c r="N65" s="21">
        <f t="shared" ca="1" si="5"/>
        <v>3.2411094785057708E-2</v>
      </c>
      <c r="O65" s="21">
        <f t="shared" ca="1" si="6"/>
        <v>0.12857513188355887</v>
      </c>
    </row>
    <row r="66" spans="2:15">
      <c r="B66" s="12">
        <v>39</v>
      </c>
      <c r="C66" s="19">
        <f t="shared" ca="1" si="7"/>
        <v>-1.8614510212370763</v>
      </c>
      <c r="D66" s="19">
        <f t="shared" ca="1" si="7"/>
        <v>-2.755539893659378E-2</v>
      </c>
      <c r="E66" s="19">
        <f t="shared" ca="1" si="7"/>
        <v>0.88562844612150682</v>
      </c>
      <c r="F66" s="20"/>
      <c r="H66" s="19">
        <f t="array" aca="1" ref="H66:J66" ca="1">TRANSPOSE(MMULT(adjchol,TRANSPOSE(C66:E66)))</f>
        <v>-1.8614510212370763</v>
      </c>
      <c r="I66" s="19">
        <f ca="1"/>
        <v>-1.6873170390447247</v>
      </c>
      <c r="J66" s="19">
        <f ca="1"/>
        <v>-0.86228805785802787</v>
      </c>
      <c r="K66" s="20"/>
      <c r="M66" s="21">
        <f t="shared" ca="1" si="4"/>
        <v>1.3854897876292363E-3</v>
      </c>
      <c r="N66" s="21">
        <f t="shared" ca="1" si="5"/>
        <v>-3.749268156178899E-2</v>
      </c>
      <c r="O66" s="21">
        <f t="shared" ca="1" si="6"/>
        <v>-3.9343208678704167E-2</v>
      </c>
    </row>
    <row r="67" spans="2:15">
      <c r="B67" s="12">
        <v>40</v>
      </c>
      <c r="C67" s="19">
        <f t="shared" ca="1" si="7"/>
        <v>1.423935994891298</v>
      </c>
      <c r="D67" s="19">
        <f t="shared" ca="1" si="7"/>
        <v>-0.20711160435161904</v>
      </c>
      <c r="E67" s="19">
        <f t="shared" ca="1" si="7"/>
        <v>-1.1637760741348608</v>
      </c>
      <c r="F67" s="20"/>
      <c r="H67" s="19">
        <f t="array" aca="1" ref="H67:J67" ca="1">TRANSPOSE(MMULT(adjchol,TRANSPOSE(C67:E67)))</f>
        <v>1.423935994891298</v>
      </c>
      <c r="I67" s="19">
        <f ca="1"/>
        <v>1.1912645400618398</v>
      </c>
      <c r="J67" s="19">
        <f ca="1"/>
        <v>0.54599902539920819</v>
      </c>
      <c r="K67" s="20"/>
      <c r="M67" s="21">
        <f t="shared" ca="1" si="4"/>
        <v>3.423935994891298E-2</v>
      </c>
      <c r="N67" s="21">
        <f t="shared" ca="1" si="5"/>
        <v>7.7650581602473595E-2</v>
      </c>
      <c r="O67" s="21">
        <f t="shared" ca="1" si="6"/>
        <v>0.17189985380988121</v>
      </c>
    </row>
    <row r="68" spans="2:15">
      <c r="B68" s="12">
        <v>41</v>
      </c>
      <c r="C68" s="19">
        <f t="shared" ca="1" si="7"/>
        <v>-0.70712478532732848</v>
      </c>
      <c r="D68" s="19">
        <f t="shared" ca="1" si="7"/>
        <v>1.0619587476078669</v>
      </c>
      <c r="E68" s="19">
        <f t="shared" ca="1" si="7"/>
        <v>-0.91982018475917526</v>
      </c>
      <c r="F68" s="20"/>
      <c r="H68" s="19">
        <f t="array" aca="1" ref="H68:J68" ca="1">TRANSPOSE(MMULT(adjchol,TRANSPOSE(C68:E68)))</f>
        <v>-0.70712478532732848</v>
      </c>
      <c r="I68" s="19">
        <f ca="1"/>
        <v>-0.17351522049142487</v>
      </c>
      <c r="J68" s="19">
        <f ca="1"/>
        <v>-1.4979783052727524</v>
      </c>
      <c r="K68" s="20"/>
      <c r="M68" s="21">
        <f t="shared" ca="1" si="4"/>
        <v>1.2928752146726716E-2</v>
      </c>
      <c r="N68" s="21">
        <f t="shared" ca="1" si="5"/>
        <v>2.3059391180343003E-2</v>
      </c>
      <c r="O68" s="21">
        <f t="shared" ca="1" si="6"/>
        <v>-0.13469674579091287</v>
      </c>
    </row>
    <row r="69" spans="2:15">
      <c r="B69" s="12">
        <v>42</v>
      </c>
      <c r="C69" s="19">
        <f t="shared" ca="1" si="7"/>
        <v>-4.6849883264977587E-3</v>
      </c>
      <c r="D69" s="19">
        <f t="shared" ca="1" si="7"/>
        <v>-0.34042028411597347</v>
      </c>
      <c r="E69" s="19">
        <f t="shared" ca="1" si="7"/>
        <v>0.48238408224737445</v>
      </c>
      <c r="F69" s="20"/>
      <c r="H69" s="19">
        <f t="array" aca="1" ref="H69:J69" ca="1">TRANSPOSE(MMULT(adjchol,TRANSPOSE(C69:E69)))</f>
        <v>-4.6849883264977587E-3</v>
      </c>
      <c r="I69" s="19">
        <f ca="1"/>
        <v>-0.15260225117314122</v>
      </c>
      <c r="J69" s="19">
        <f ca="1"/>
        <v>0.40848138266509082</v>
      </c>
      <c r="K69" s="20"/>
      <c r="M69" s="21">
        <f t="shared" ca="1" si="4"/>
        <v>1.9953150116735024E-2</v>
      </c>
      <c r="N69" s="21">
        <f t="shared" ca="1" si="5"/>
        <v>2.3895909953074349E-2</v>
      </c>
      <c r="O69" s="21">
        <f t="shared" ca="1" si="6"/>
        <v>0.1512722073997636</v>
      </c>
    </row>
    <row r="70" spans="2:15">
      <c r="B70" s="12">
        <v>43</v>
      </c>
      <c r="C70" s="19">
        <f t="shared" ca="1" si="7"/>
        <v>1.5195221671062376</v>
      </c>
      <c r="D70" s="19">
        <f t="shared" ca="1" si="7"/>
        <v>0.50178613054984955</v>
      </c>
      <c r="E70" s="19">
        <f t="shared" ca="1" si="7"/>
        <v>0.40200463680770371</v>
      </c>
      <c r="F70" s="20"/>
      <c r="H70" s="19">
        <f t="array" aca="1" ref="H70:J70" ca="1">TRANSPOSE(MMULT(adjchol,TRANSPOSE(C70:E70)))</f>
        <v>1.5195221671062376</v>
      </c>
      <c r="I70" s="19">
        <f ca="1"/>
        <v>1.5862934538293239</v>
      </c>
      <c r="J70" s="19">
        <f ca="1"/>
        <v>0.992350245821635</v>
      </c>
      <c r="K70" s="20"/>
      <c r="M70" s="21">
        <f t="shared" ca="1" si="4"/>
        <v>3.5195221671062378E-2</v>
      </c>
      <c r="N70" s="21">
        <f t="shared" ca="1" si="5"/>
        <v>9.3451738153172953E-2</v>
      </c>
      <c r="O70" s="21">
        <f t="shared" ca="1" si="6"/>
        <v>0.23885253687324523</v>
      </c>
    </row>
    <row r="71" spans="2:15">
      <c r="B71" s="12">
        <v>44</v>
      </c>
      <c r="C71" s="19">
        <f t="shared" ca="1" si="7"/>
        <v>1.4322880232383495</v>
      </c>
      <c r="D71" s="19">
        <f t="shared" ca="1" si="7"/>
        <v>1.3499027471310445</v>
      </c>
      <c r="E71" s="19">
        <f t="shared" ca="1" si="7"/>
        <v>1.0611766973573855</v>
      </c>
      <c r="F71" s="20"/>
      <c r="H71" s="19">
        <f t="array" aca="1" ref="H71:J71" ca="1">TRANSPOSE(MMULT(adjchol,TRANSPOSE(C71:E71)))</f>
        <v>1.4322880232383495</v>
      </c>
      <c r="I71" s="19">
        <f ca="1"/>
        <v>1.8774681867497307</v>
      </c>
      <c r="J71" s="19">
        <f ca="1"/>
        <v>0.80098343000838446</v>
      </c>
      <c r="K71" s="20"/>
      <c r="M71" s="21">
        <f t="shared" ca="1" si="4"/>
        <v>3.4322880232383494E-2</v>
      </c>
      <c r="N71" s="21">
        <f t="shared" ca="1" si="5"/>
        <v>0.10509872746998923</v>
      </c>
      <c r="O71" s="21">
        <f t="shared" ca="1" si="6"/>
        <v>0.21014751450125765</v>
      </c>
    </row>
    <row r="72" spans="2:15">
      <c r="B72" s="12">
        <v>45</v>
      </c>
      <c r="C72" s="19">
        <f t="shared" ca="1" si="7"/>
        <v>0.40568576063422918</v>
      </c>
      <c r="D72" s="19">
        <f t="shared" ca="1" si="7"/>
        <v>0.81195771889223356</v>
      </c>
      <c r="E72" s="19">
        <f t="shared" ca="1" si="7"/>
        <v>0.50329698389953859</v>
      </c>
      <c r="F72" s="20"/>
      <c r="H72" s="19">
        <f t="array" aca="1" ref="H72:J72" ca="1">TRANSPOSE(MMULT(adjchol,TRANSPOSE(C72:E72)))</f>
        <v>0.40568576063422918</v>
      </c>
      <c r="I72" s="19">
        <f ca="1"/>
        <v>0.71904134887871141</v>
      </c>
      <c r="J72" s="19">
        <f ca="1"/>
        <v>9.774536538137274E-2</v>
      </c>
      <c r="K72" s="20"/>
      <c r="M72" s="21">
        <f t="shared" ca="1" si="4"/>
        <v>2.4056857606342293E-2</v>
      </c>
      <c r="N72" s="21">
        <f t="shared" ca="1" si="5"/>
        <v>5.8761653955148457E-2</v>
      </c>
      <c r="O72" s="21">
        <f t="shared" ca="1" si="6"/>
        <v>0.10466180480720591</v>
      </c>
    </row>
    <row r="73" spans="2:15">
      <c r="B73" s="12">
        <v>46</v>
      </c>
      <c r="C73" s="19">
        <f t="shared" ca="1" si="7"/>
        <v>-0.60599351181739491</v>
      </c>
      <c r="D73" s="19">
        <f t="shared" ca="1" si="7"/>
        <v>-1.4946520542506005</v>
      </c>
      <c r="E73" s="19">
        <f t="shared" ca="1" si="7"/>
        <v>1.1100908813896477</v>
      </c>
      <c r="F73" s="20"/>
      <c r="H73" s="19">
        <f t="array" aca="1" ref="H73:J73" ca="1">TRANSPOSE(MMULT(adjchol,TRANSPOSE(C73:E73)))</f>
        <v>-0.60599351181739491</v>
      </c>
      <c r="I73" s="19">
        <f ca="1"/>
        <v>-1.1968978866590394</v>
      </c>
      <c r="J73" s="19">
        <f ca="1"/>
        <v>0.89867209998359443</v>
      </c>
      <c r="K73" s="20"/>
      <c r="M73" s="21">
        <f t="shared" ca="1" si="4"/>
        <v>1.3940064881826052E-2</v>
      </c>
      <c r="N73" s="21">
        <f t="shared" ca="1" si="5"/>
        <v>-1.787591546636158E-2</v>
      </c>
      <c r="O73" s="21">
        <f t="shared" ca="1" si="6"/>
        <v>0.22480081499753915</v>
      </c>
    </row>
    <row r="74" spans="2:15">
      <c r="B74" s="12">
        <v>47</v>
      </c>
      <c r="C74" s="19">
        <f t="shared" ca="1" si="7"/>
        <v>2.1117329689661748</v>
      </c>
      <c r="D74" s="19">
        <f t="shared" ca="1" si="7"/>
        <v>-0.77248640188947448</v>
      </c>
      <c r="E74" s="19">
        <f t="shared" ca="1" si="7"/>
        <v>-0.56945352769312518</v>
      </c>
      <c r="F74" s="20"/>
      <c r="H74" s="19">
        <f t="array" aca="1" ref="H74:J74" ca="1">TRANSPOSE(MMULT(adjchol,TRANSPOSE(C74:E74)))</f>
        <v>2.1117329689661748</v>
      </c>
      <c r="I74" s="19">
        <f ca="1"/>
        <v>1.5638406559600009</v>
      </c>
      <c r="J74" s="19">
        <f ca="1"/>
        <v>1.6117841784451064</v>
      </c>
      <c r="K74" s="20"/>
      <c r="M74" s="21">
        <f t="shared" ca="1" si="4"/>
        <v>4.1117329689661752E-2</v>
      </c>
      <c r="N74" s="21">
        <f t="shared" ca="1" si="5"/>
        <v>9.2553626238400036E-2</v>
      </c>
      <c r="O74" s="21">
        <f t="shared" ca="1" si="6"/>
        <v>0.33176762676676597</v>
      </c>
    </row>
    <row r="75" spans="2:15">
      <c r="B75" s="12">
        <v>48</v>
      </c>
      <c r="C75" s="19">
        <f t="shared" ca="1" si="7"/>
        <v>0.76796307067972447</v>
      </c>
      <c r="D75" s="19">
        <f t="shared" ca="1" si="7"/>
        <v>0.19278259444039031</v>
      </c>
      <c r="E75" s="19">
        <f t="shared" ca="1" si="7"/>
        <v>1.1249600655150114</v>
      </c>
      <c r="F75" s="20"/>
      <c r="H75" s="19">
        <f t="array" aca="1" ref="H75:J75" ca="1">TRANSPOSE(MMULT(adjchol,TRANSPOSE(C75:E75)))</f>
        <v>0.76796307067972447</v>
      </c>
      <c r="I75" s="19">
        <f ca="1"/>
        <v>0.7751987483356767</v>
      </c>
      <c r="J75" s="19">
        <f ca="1"/>
        <v>0.97721181915092137</v>
      </c>
      <c r="K75" s="20"/>
      <c r="M75" s="21">
        <f t="shared" ca="1" si="4"/>
        <v>2.7679630706797246E-2</v>
      </c>
      <c r="N75" s="21">
        <f t="shared" ca="1" si="5"/>
        <v>6.1007949933427064E-2</v>
      </c>
      <c r="O75" s="21">
        <f t="shared" ca="1" si="6"/>
        <v>0.23658177287263821</v>
      </c>
    </row>
    <row r="76" spans="2:15">
      <c r="B76" s="12">
        <v>49</v>
      </c>
      <c r="C76" s="19">
        <f t="shared" ca="1" si="7"/>
        <v>0.64630001644754453</v>
      </c>
      <c r="D76" s="19">
        <f t="shared" ca="1" si="7"/>
        <v>-0.17424774636827262</v>
      </c>
      <c r="E76" s="19">
        <f t="shared" ca="1" si="7"/>
        <v>-0.76302860473548817</v>
      </c>
      <c r="F76" s="20"/>
      <c r="H76" s="19">
        <f t="array" aca="1" ref="H76:J76" ca="1">TRANSPOSE(MMULT(adjchol,TRANSPOSE(C76:E76)))</f>
        <v>0.64630001644754453</v>
      </c>
      <c r="I76" s="19">
        <f ca="1"/>
        <v>0.50571718304688951</v>
      </c>
      <c r="J76" s="19">
        <f ca="1"/>
        <v>0.17716332582493949</v>
      </c>
      <c r="K76" s="20"/>
      <c r="M76" s="21">
        <f t="shared" ca="1" si="4"/>
        <v>2.6463000164475448E-2</v>
      </c>
      <c r="N76" s="21">
        <f t="shared" ca="1" si="5"/>
        <v>5.0228687321875576E-2</v>
      </c>
      <c r="O76" s="21">
        <f t="shared" ca="1" si="6"/>
        <v>0.11657449887374091</v>
      </c>
    </row>
    <row r="77" spans="2:15">
      <c r="B77" s="12">
        <v>50</v>
      </c>
      <c r="C77" s="19">
        <f t="shared" ca="1" si="7"/>
        <v>0.72284705452265663</v>
      </c>
      <c r="D77" s="19">
        <f t="shared" ca="1" si="7"/>
        <v>-0.79124860342249126</v>
      </c>
      <c r="E77" s="19">
        <f t="shared" ca="1" si="7"/>
        <v>-0.9817904153012571</v>
      </c>
      <c r="F77" s="20"/>
      <c r="H77" s="19">
        <f t="array" aca="1" ref="H77:J77" ca="1">TRANSPOSE(MMULT(adjchol,TRANSPOSE(C77:E77)))</f>
        <v>0.72284705452265663</v>
      </c>
      <c r="I77" s="19">
        <f ca="1"/>
        <v>0.30566507891675804</v>
      </c>
      <c r="J77" s="19">
        <f ca="1"/>
        <v>0.45103659151403702</v>
      </c>
      <c r="K77" s="20"/>
      <c r="M77" s="21">
        <f t="shared" ca="1" si="4"/>
        <v>2.7228470545226566E-2</v>
      </c>
      <c r="N77" s="21">
        <f t="shared" ca="1" si="5"/>
        <v>4.2226603156670317E-2</v>
      </c>
      <c r="O77" s="21">
        <f t="shared" ca="1" si="6"/>
        <v>0.15765548872710555</v>
      </c>
    </row>
    <row r="78" spans="2:15">
      <c r="B78" s="12">
        <v>51</v>
      </c>
      <c r="C78" s="19">
        <f t="shared" ca="1" si="7"/>
        <v>-0.94261877415227335</v>
      </c>
      <c r="D78" s="19">
        <f t="shared" ca="1" si="7"/>
        <v>1.1584376988754772</v>
      </c>
      <c r="E78" s="19">
        <f t="shared" ca="1" si="7"/>
        <v>-1.4920168352517043</v>
      </c>
      <c r="F78" s="20"/>
      <c r="H78" s="19">
        <f t="array" aca="1" ref="H78:J78" ca="1">TRANSPOSE(MMULT(adjchol,TRANSPOSE(C78:E78)))</f>
        <v>-0.94261877415227335</v>
      </c>
      <c r="I78" s="19">
        <f ca="1"/>
        <v>-0.34340561055844554</v>
      </c>
      <c r="J78" s="19">
        <f ca="1"/>
        <v>-1.9890880063400322</v>
      </c>
      <c r="K78" s="20"/>
      <c r="M78" s="21">
        <f t="shared" ca="1" si="4"/>
        <v>1.0573812258477268E-2</v>
      </c>
      <c r="N78" s="21">
        <f t="shared" ca="1" si="5"/>
        <v>1.6263775577662176E-2</v>
      </c>
      <c r="O78" s="21">
        <f t="shared" ca="1" si="6"/>
        <v>-0.20836320095100483</v>
      </c>
    </row>
    <row r="79" spans="2:15">
      <c r="B79" s="12">
        <v>52</v>
      </c>
      <c r="C79" s="19">
        <f t="shared" ca="1" si="7"/>
        <v>-0.73015051043876744</v>
      </c>
      <c r="D79" s="19">
        <f t="shared" ca="1" si="7"/>
        <v>-0.59598440437787736</v>
      </c>
      <c r="E79" s="19">
        <f t="shared" ca="1" si="7"/>
        <v>-1.233442293580427</v>
      </c>
      <c r="F79" s="20"/>
      <c r="H79" s="19">
        <f t="array" aca="1" ref="H79:J79" ca="1">TRANSPOSE(MMULT(adjchol,TRANSPOSE(C79:E79)))</f>
        <v>-0.73015051043876744</v>
      </c>
      <c r="I79" s="19">
        <f ca="1"/>
        <v>-0.91691903845583544</v>
      </c>
      <c r="J79" s="19">
        <f ca="1"/>
        <v>-0.79019562026505574</v>
      </c>
      <c r="K79" s="20"/>
      <c r="M79" s="21">
        <f t="shared" ca="1" si="4"/>
        <v>1.2698494895612325E-2</v>
      </c>
      <c r="N79" s="21">
        <f t="shared" ca="1" si="5"/>
        <v>-6.6767615382334194E-3</v>
      </c>
      <c r="O79" s="21">
        <f t="shared" ca="1" si="6"/>
        <v>-2.8529343039758362E-2</v>
      </c>
    </row>
    <row r="80" spans="2:15">
      <c r="B80" s="12">
        <v>53</v>
      </c>
      <c r="C80" s="19">
        <f t="shared" ca="1" si="7"/>
        <v>-1.3428233485178851</v>
      </c>
      <c r="D80" s="19">
        <f t="shared" ca="1" si="7"/>
        <v>0.32142896247137448</v>
      </c>
      <c r="E80" s="19">
        <f t="shared" ca="1" si="7"/>
        <v>-0.76843315256066869</v>
      </c>
      <c r="F80" s="20"/>
      <c r="H80" s="19">
        <f t="array" aca="1" ref="H80:J80" ca="1">TRANSPOSE(MMULT(adjchol,TRANSPOSE(C80:E80)))</f>
        <v>-1.3428233485178851</v>
      </c>
      <c r="I80" s="19">
        <f ca="1"/>
        <v>-1.0684333771721117</v>
      </c>
      <c r="J80" s="19">
        <f ca="1"/>
        <v>-1.4793707239203557</v>
      </c>
      <c r="K80" s="20"/>
      <c r="M80" s="21">
        <f t="shared" ca="1" si="4"/>
        <v>6.571766514821149E-3</v>
      </c>
      <c r="N80" s="21">
        <f t="shared" ca="1" si="5"/>
        <v>-1.2737335086884474E-2</v>
      </c>
      <c r="O80" s="21">
        <f t="shared" ca="1" si="6"/>
        <v>-0.13190560858805336</v>
      </c>
    </row>
    <row r="81" spans="2:15">
      <c r="B81" s="12">
        <v>54</v>
      </c>
      <c r="C81" s="19">
        <f t="shared" ca="1" si="7"/>
        <v>1.2693216476065292</v>
      </c>
      <c r="D81" s="19">
        <f t="shared" ca="1" si="7"/>
        <v>-0.59574018309522492</v>
      </c>
      <c r="E81" s="19">
        <f t="shared" ca="1" si="7"/>
        <v>0.25312245004650397</v>
      </c>
      <c r="F81" s="20"/>
      <c r="H81" s="19">
        <f t="array" aca="1" ref="H81:J81" ca="1">TRANSPOSE(MMULT(adjchol,TRANSPOSE(C81:E81)))</f>
        <v>1.2693216476065292</v>
      </c>
      <c r="I81" s="19">
        <f ca="1"/>
        <v>0.88271235737402598</v>
      </c>
      <c r="J81" s="19">
        <f ca="1"/>
        <v>1.3246803788305086</v>
      </c>
      <c r="K81" s="20"/>
      <c r="M81" s="21">
        <f t="shared" ca="1" si="4"/>
        <v>3.2693216476065295E-2</v>
      </c>
      <c r="N81" s="21">
        <f t="shared" ca="1" si="5"/>
        <v>6.5308494294961036E-2</v>
      </c>
      <c r="O81" s="21">
        <f t="shared" ca="1" si="6"/>
        <v>0.28870205682457628</v>
      </c>
    </row>
    <row r="82" spans="2:15">
      <c r="B82" s="12">
        <v>55</v>
      </c>
      <c r="C82" s="19">
        <f t="shared" ca="1" si="7"/>
        <v>-0.90847756187066331</v>
      </c>
      <c r="D82" s="19">
        <f t="shared" ca="1" si="7"/>
        <v>1.0585389256451148</v>
      </c>
      <c r="E82" s="19">
        <f t="shared" ca="1" si="7"/>
        <v>0.12280777612406633</v>
      </c>
      <c r="F82" s="20"/>
      <c r="H82" s="19">
        <f t="array" aca="1" ref="H82:J82" ca="1">TRANSPOSE(MMULT(adjchol,TRANSPOSE(C82:E82)))</f>
        <v>-0.90847756187066331</v>
      </c>
      <c r="I82" s="19">
        <f ca="1"/>
        <v>-0.35622338521448005</v>
      </c>
      <c r="J82" s="19">
        <f ca="1"/>
        <v>-1.1353805508933457</v>
      </c>
      <c r="K82" s="20"/>
      <c r="M82" s="21">
        <f t="shared" ca="1" si="4"/>
        <v>1.0915224381293368E-2</v>
      </c>
      <c r="N82" s="21">
        <f t="shared" ca="1" si="5"/>
        <v>1.5751064591420796E-2</v>
      </c>
      <c r="O82" s="21">
        <f t="shared" ca="1" si="6"/>
        <v>-8.0307082634001853E-2</v>
      </c>
    </row>
    <row r="83" spans="2:15">
      <c r="B83" s="12">
        <v>56</v>
      </c>
      <c r="C83" s="19">
        <f t="shared" ca="1" si="7"/>
        <v>-0.67142883995977165</v>
      </c>
      <c r="D83" s="19">
        <f t="shared" ca="1" si="7"/>
        <v>8.490955329366362E-2</v>
      </c>
      <c r="E83" s="19">
        <f t="shared" ca="1" si="7"/>
        <v>0.26499077043923053</v>
      </c>
      <c r="F83" s="20"/>
      <c r="H83" s="19">
        <f t="array" aca="1" ref="H83:J83" ca="1">TRANSPOSE(MMULT(adjchol,TRANSPOSE(C83:E83)))</f>
        <v>-0.67142883995977165</v>
      </c>
      <c r="I83" s="19">
        <f ca="1"/>
        <v>-0.56727473974896847</v>
      </c>
      <c r="J83" s="19">
        <f ca="1"/>
        <v>-0.38728265734428236</v>
      </c>
      <c r="K83" s="20"/>
      <c r="M83" s="21">
        <f t="shared" ca="1" si="4"/>
        <v>1.3285711600402284E-2</v>
      </c>
      <c r="N83" s="21">
        <f t="shared" ca="1" si="5"/>
        <v>7.3090104100412591E-3</v>
      </c>
      <c r="O83" s="21">
        <f t="shared" ca="1" si="6"/>
        <v>3.1907601398357646E-2</v>
      </c>
    </row>
    <row r="84" spans="2:15">
      <c r="B84" s="12">
        <v>57</v>
      </c>
      <c r="C84" s="19">
        <f t="shared" ca="1" si="7"/>
        <v>-0.42139734202544693</v>
      </c>
      <c r="D84" s="19">
        <f t="shared" ca="1" si="7"/>
        <v>0.55672007112598187</v>
      </c>
      <c r="E84" s="19">
        <f t="shared" ca="1" si="7"/>
        <v>-1.5874402767879268</v>
      </c>
      <c r="F84" s="20"/>
      <c r="H84" s="19">
        <f t="array" aca="1" ref="H84:J84" ca="1">TRANSPOSE(MMULT(adjchol,TRANSPOSE(C84:E84)))</f>
        <v>-0.42139734202544693</v>
      </c>
      <c r="I84" s="19">
        <f ca="1"/>
        <v>-0.13658895483500919</v>
      </c>
      <c r="J84" s="19">
        <f ca="1"/>
        <v>-1.3526532632917747</v>
      </c>
      <c r="K84" s="20"/>
      <c r="M84" s="21">
        <f t="shared" ca="1" si="4"/>
        <v>1.5786026579745531E-2</v>
      </c>
      <c r="N84" s="21">
        <f t="shared" ca="1" si="5"/>
        <v>2.4536441806599633E-2</v>
      </c>
      <c r="O84" s="21">
        <f t="shared" ca="1" si="6"/>
        <v>-0.1128979894937662</v>
      </c>
    </row>
    <row r="85" spans="2:15">
      <c r="B85" s="12">
        <v>58</v>
      </c>
      <c r="C85" s="19">
        <f t="shared" ca="1" si="7"/>
        <v>-0.97866167075500754</v>
      </c>
      <c r="D85" s="19">
        <f t="shared" ca="1" si="7"/>
        <v>-0.29330920519878284</v>
      </c>
      <c r="E85" s="19">
        <f t="shared" ca="1" si="7"/>
        <v>0.58707543509863502</v>
      </c>
      <c r="F85" s="20"/>
      <c r="H85" s="19">
        <f t="array" aca="1" ref="H85:J85" ca="1">TRANSPOSE(MMULT(adjchol,TRANSPOSE(C85:E85)))</f>
        <v>-0.97866167075500754</v>
      </c>
      <c r="I85" s="19">
        <f ca="1"/>
        <v>-1.0086460221466798</v>
      </c>
      <c r="J85" s="19">
        <f ca="1"/>
        <v>-0.24778049369787331</v>
      </c>
      <c r="K85" s="20"/>
      <c r="M85" s="21">
        <f t="shared" ca="1" si="4"/>
        <v>1.0213383292449925E-2</v>
      </c>
      <c r="N85" s="21">
        <f t="shared" ca="1" si="5"/>
        <v>-1.0345840885867194E-2</v>
      </c>
      <c r="O85" s="21">
        <f t="shared" ca="1" si="6"/>
        <v>5.2832925945318999E-2</v>
      </c>
    </row>
    <row r="86" spans="2:15">
      <c r="B86" s="12">
        <v>59</v>
      </c>
      <c r="C86" s="19">
        <f t="shared" ca="1" si="7"/>
        <v>1.4299433577450809</v>
      </c>
      <c r="D86" s="19">
        <f t="shared" ca="1" si="7"/>
        <v>1.249220711778859</v>
      </c>
      <c r="E86" s="19">
        <f t="shared" ca="1" si="7"/>
        <v>-0.75837602543026028</v>
      </c>
      <c r="F86" s="20"/>
      <c r="H86" s="19">
        <f t="array" aca="1" ref="H86:J86" ca="1">TRANSPOSE(MMULT(adjchol,TRANSPOSE(C86:E86)))</f>
        <v>1.4299433577450809</v>
      </c>
      <c r="I86" s="19">
        <f ca="1"/>
        <v>1.8314717060527723</v>
      </c>
      <c r="J86" s="19">
        <f ca="1"/>
        <v>-2.3149331022004005E-2</v>
      </c>
      <c r="K86" s="20"/>
      <c r="M86" s="21">
        <f t="shared" ca="1" si="4"/>
        <v>3.4299433577450814E-2</v>
      </c>
      <c r="N86" s="21">
        <f t="shared" ca="1" si="5"/>
        <v>0.10325886824211089</v>
      </c>
      <c r="O86" s="21">
        <f t="shared" ca="1" si="6"/>
        <v>8.6527600346699401E-2</v>
      </c>
    </row>
    <row r="87" spans="2:15">
      <c r="B87" s="12">
        <v>60</v>
      </c>
      <c r="C87" s="19">
        <f t="shared" ca="1" si="7"/>
        <v>-0.23009144317189276</v>
      </c>
      <c r="D87" s="19">
        <f t="shared" ca="1" si="7"/>
        <v>-1.5490525816110916</v>
      </c>
      <c r="E87" s="19">
        <f t="shared" ca="1" si="7"/>
        <v>1.9845533998799265</v>
      </c>
      <c r="F87" s="20"/>
      <c r="H87" s="19">
        <f t="array" aca="1" ref="H87:J87" ca="1">TRANSPOSE(MMULT(adjchol,TRANSPOSE(C87:E87)))</f>
        <v>-0.23009144317189276</v>
      </c>
      <c r="I87" s="19">
        <f ca="1"/>
        <v>-0.88229866500205745</v>
      </c>
      <c r="J87" s="19">
        <f ca="1"/>
        <v>1.6113228628624714</v>
      </c>
      <c r="K87" s="20"/>
      <c r="M87" s="21">
        <f t="shared" ca="1" si="4"/>
        <v>1.7699085568281071E-2</v>
      </c>
      <c r="N87" s="21">
        <f t="shared" ca="1" si="5"/>
        <v>-5.2919466000823021E-3</v>
      </c>
      <c r="O87" s="21">
        <f t="shared" ca="1" si="6"/>
        <v>0.33169842942937067</v>
      </c>
    </row>
    <row r="88" spans="2:15">
      <c r="B88" s="12">
        <v>61</v>
      </c>
      <c r="C88" s="19">
        <f t="shared" ca="1" si="7"/>
        <v>-0.20153259439147261</v>
      </c>
      <c r="D88" s="19">
        <f t="shared" ca="1" si="7"/>
        <v>0.46642416114957519</v>
      </c>
      <c r="E88" s="19">
        <f t="shared" ca="1" si="7"/>
        <v>0.19464596515181379</v>
      </c>
      <c r="F88" s="20"/>
      <c r="H88" s="19">
        <f t="array" aca="1" ref="H88:J88" ca="1">TRANSPOSE(MMULT(adjchol,TRANSPOSE(C88:E88)))</f>
        <v>-0.20153259439147261</v>
      </c>
      <c r="I88" s="19">
        <f ca="1"/>
        <v>2.1930243375347408E-2</v>
      </c>
      <c r="J88" s="19">
        <f ca="1"/>
        <v>-0.29351561372250984</v>
      </c>
      <c r="K88" s="20"/>
      <c r="M88" s="21">
        <f t="shared" ca="1" si="4"/>
        <v>1.7984674056085274E-2</v>
      </c>
      <c r="N88" s="21">
        <f t="shared" ca="1" si="5"/>
        <v>3.0877209735013896E-2</v>
      </c>
      <c r="O88" s="21">
        <f t="shared" ca="1" si="6"/>
        <v>4.5972657941623522E-2</v>
      </c>
    </row>
    <row r="89" spans="2:15">
      <c r="B89" s="12">
        <v>62</v>
      </c>
      <c r="C89" s="19">
        <f t="shared" ca="1" si="7"/>
        <v>0.21046820661285195</v>
      </c>
      <c r="D89" s="19">
        <f t="shared" ca="1" si="7"/>
        <v>-8.6275912144304356E-2</v>
      </c>
      <c r="E89" s="19">
        <f t="shared" ca="1" si="7"/>
        <v>-0.34501536695676277</v>
      </c>
      <c r="F89" s="20"/>
      <c r="H89" s="19">
        <f t="array" aca="1" ref="H89:J89" ca="1">TRANSPOSE(MMULT(adjchol,TRANSPOSE(C89:E89)))</f>
        <v>0.21046820661285195</v>
      </c>
      <c r="I89" s="19">
        <f ca="1"/>
        <v>0.15181458772168516</v>
      </c>
      <c r="J89" s="19">
        <f ca="1"/>
        <v>2.6821224952888634E-2</v>
      </c>
      <c r="K89" s="20"/>
      <c r="M89" s="21">
        <f t="shared" ca="1" si="4"/>
        <v>2.210468206612852E-2</v>
      </c>
      <c r="N89" s="21">
        <f t="shared" ca="1" si="5"/>
        <v>3.6072583508867405E-2</v>
      </c>
      <c r="O89" s="21">
        <f t="shared" ca="1" si="6"/>
        <v>9.4023183742933295E-2</v>
      </c>
    </row>
    <row r="90" spans="2:15">
      <c r="B90" s="12">
        <v>63</v>
      </c>
      <c r="C90" s="19">
        <f t="shared" ca="1" si="7"/>
        <v>-1.7297768721084219</v>
      </c>
      <c r="D90" s="19">
        <f t="shared" ca="1" si="7"/>
        <v>-0.58622430682562365</v>
      </c>
      <c r="E90" s="19">
        <f t="shared" ca="1" si="7"/>
        <v>2.0217465585819849</v>
      </c>
      <c r="F90" s="20"/>
      <c r="H90" s="19">
        <f t="array" aca="1" ref="H90:J90" ca="1">TRANSPOSE(MMULT(adjchol,TRANSPOSE(C90:E90)))</f>
        <v>-1.7297768721084219</v>
      </c>
      <c r="I90" s="19">
        <f ca="1"/>
        <v>-1.8123284360675871</v>
      </c>
      <c r="J90" s="19">
        <f ca="1"/>
        <v>7.1399099233686147E-2</v>
      </c>
      <c r="K90" s="20"/>
      <c r="M90" s="21">
        <f t="shared" ca="1" si="4"/>
        <v>2.7022312789157822E-3</v>
      </c>
      <c r="N90" s="21">
        <f t="shared" ca="1" si="5"/>
        <v>-4.2493137442703485E-2</v>
      </c>
      <c r="O90" s="21">
        <f t="shared" ca="1" si="6"/>
        <v>0.10070986488505292</v>
      </c>
    </row>
    <row r="91" spans="2:15">
      <c r="B91" s="12">
        <v>64</v>
      </c>
      <c r="C91" s="19">
        <f t="shared" ca="1" si="7"/>
        <v>-0.16266832146317176</v>
      </c>
      <c r="D91" s="19">
        <f t="shared" ca="1" si="7"/>
        <v>-0.80028916699040564</v>
      </c>
      <c r="E91" s="19">
        <f t="shared" ca="1" si="7"/>
        <v>0.80761083485736085</v>
      </c>
      <c r="F91" s="20"/>
      <c r="H91" s="19">
        <f t="array" aca="1" ref="H91:J91" ca="1">TRANSPOSE(MMULT(adjchol,TRANSPOSE(C91:E91)))</f>
        <v>-0.16266832146317176</v>
      </c>
      <c r="I91" s="19">
        <f ca="1"/>
        <v>-0.49523944976900702</v>
      </c>
      <c r="J91" s="19">
        <f ca="1"/>
        <v>0.69705344404280045</v>
      </c>
      <c r="K91" s="20"/>
      <c r="M91" s="21">
        <f t="shared" ca="1" si="4"/>
        <v>1.8373316785368281E-2</v>
      </c>
      <c r="N91" s="21">
        <f t="shared" ca="1" si="5"/>
        <v>1.0190422009239718E-2</v>
      </c>
      <c r="O91" s="21">
        <f t="shared" ca="1" si="6"/>
        <v>0.19455801660642008</v>
      </c>
    </row>
    <row r="92" spans="2:15">
      <c r="B92" s="12">
        <v>65</v>
      </c>
      <c r="C92" s="19">
        <f t="shared" ca="1" si="7"/>
        <v>0.18228821500551159</v>
      </c>
      <c r="D92" s="19">
        <f t="shared" ca="1" si="7"/>
        <v>-1.0266182130027879</v>
      </c>
      <c r="E92" s="19">
        <f t="shared" ca="1" si="7"/>
        <v>0.69218178076742731</v>
      </c>
      <c r="F92" s="20"/>
      <c r="H92" s="19">
        <f t="array" aca="1" ref="H92:J92" ca="1">TRANSPOSE(MMULT(adjchol,TRANSPOSE(C92:E92)))</f>
        <v>0.18228821500551159</v>
      </c>
      <c r="I92" s="19">
        <f ca="1"/>
        <v>-0.28343311090278611</v>
      </c>
      <c r="J92" s="19">
        <f ca="1"/>
        <v>1.0023994211355929</v>
      </c>
      <c r="K92" s="20"/>
      <c r="M92" s="21">
        <f t="shared" ref="M92:M127" ca="1" si="8">C$3+H92*C$4</f>
        <v>2.1822882150055116E-2</v>
      </c>
      <c r="N92" s="21">
        <f t="shared" ref="N92:N127" ca="1" si="9">D$3+I92*D$4</f>
        <v>1.8662675563888554E-2</v>
      </c>
      <c r="O92" s="21">
        <f t="shared" ref="O92:O127" ca="1" si="10">E$3+J92*E$4</f>
        <v>0.24035991317033892</v>
      </c>
    </row>
    <row r="93" spans="2:15">
      <c r="B93" s="12">
        <v>66</v>
      </c>
      <c r="C93" s="19">
        <f t="shared" ref="C93:E127" ca="1" si="11">NORMSINV(RAND())</f>
        <v>4.0785104069385771E-2</v>
      </c>
      <c r="D93" s="19">
        <f t="shared" ca="1" si="11"/>
        <v>-0.25952245053213296</v>
      </c>
      <c r="E93" s="19">
        <f t="shared" ca="1" si="11"/>
        <v>0.14813863245685052</v>
      </c>
      <c r="F93" s="20"/>
      <c r="H93" s="19">
        <f t="array" aca="1" ref="H93:J93" ca="1">TRANSPOSE(MMULT(adjchol,TRANSPOSE(C93:E93)))</f>
        <v>4.0785104069385771E-2</v>
      </c>
      <c r="I93" s="19">
        <f ca="1"/>
        <v>-7.6416619882512887E-2</v>
      </c>
      <c r="J93" s="19">
        <f ca="1"/>
        <v>0.23677643585535127</v>
      </c>
      <c r="K93" s="20"/>
      <c r="M93" s="21">
        <f t="shared" ca="1" si="8"/>
        <v>2.0407851040693859E-2</v>
      </c>
      <c r="N93" s="21">
        <f t="shared" ca="1" si="9"/>
        <v>2.6943335204699482E-2</v>
      </c>
      <c r="O93" s="21">
        <f t="shared" ca="1" si="10"/>
        <v>0.12551646537830269</v>
      </c>
    </row>
    <row r="94" spans="2:15">
      <c r="B94" s="12">
        <v>67</v>
      </c>
      <c r="C94" s="19">
        <f t="shared" ca="1" si="11"/>
        <v>0.17222230059055479</v>
      </c>
      <c r="D94" s="19">
        <f t="shared" ca="1" si="11"/>
        <v>-0.70416006124612474</v>
      </c>
      <c r="E94" s="19">
        <f t="shared" ca="1" si="11"/>
        <v>0.14515302298914901</v>
      </c>
      <c r="F94" s="20"/>
      <c r="H94" s="19">
        <f t="array" aca="1" ref="H94:J94" ca="1">TRANSPOSE(MMULT(adjchol,TRANSPOSE(C94:E94)))</f>
        <v>0.17222230059055479</v>
      </c>
      <c r="I94" s="19">
        <f ca="1"/>
        <v>-0.15193618417342755</v>
      </c>
      <c r="J94" s="19">
        <f ca="1"/>
        <v>0.56196150568347725</v>
      </c>
      <c r="K94" s="20"/>
      <c r="M94" s="21">
        <f t="shared" ca="1" si="8"/>
        <v>2.1722223005905549E-2</v>
      </c>
      <c r="N94" s="21">
        <f t="shared" ca="1" si="9"/>
        <v>2.3922552633062897E-2</v>
      </c>
      <c r="O94" s="21">
        <f t="shared" ca="1" si="10"/>
        <v>0.17429422585252158</v>
      </c>
    </row>
    <row r="95" spans="2:15">
      <c r="B95" s="12">
        <v>68</v>
      </c>
      <c r="C95" s="19">
        <f t="shared" ca="1" si="11"/>
        <v>0.23734372900755774</v>
      </c>
      <c r="D95" s="19">
        <f t="shared" ca="1" si="11"/>
        <v>-0.62499004427619465</v>
      </c>
      <c r="E95" s="19">
        <f t="shared" ca="1" si="11"/>
        <v>-0.97798945953205152</v>
      </c>
      <c r="F95" s="20"/>
      <c r="H95" s="19">
        <f t="array" aca="1" ref="H95:J95" ca="1">TRANSPOSE(MMULT(adjchol,TRANSPOSE(C95:E95)))</f>
        <v>0.23734372900755774</v>
      </c>
      <c r="I95" s="19">
        <f ca="1"/>
        <v>-5.8817488265092338E-2</v>
      </c>
      <c r="J95" s="19">
        <f ca="1"/>
        <v>2.5286026781783877E-2</v>
      </c>
      <c r="K95" s="20"/>
      <c r="M95" s="21">
        <f t="shared" ca="1" si="8"/>
        <v>2.2373437290075578E-2</v>
      </c>
      <c r="N95" s="21">
        <f t="shared" ca="1" si="9"/>
        <v>2.7647300469396306E-2</v>
      </c>
      <c r="O95" s="21">
        <f t="shared" ca="1" si="10"/>
        <v>9.3792904017267573E-2</v>
      </c>
    </row>
    <row r="96" spans="2:15">
      <c r="B96" s="12">
        <v>69</v>
      </c>
      <c r="C96" s="19">
        <f t="shared" ca="1" si="11"/>
        <v>1.2919968760430496</v>
      </c>
      <c r="D96" s="19">
        <f t="shared" ca="1" si="11"/>
        <v>-0.25029718341436047</v>
      </c>
      <c r="E96" s="19">
        <f t="shared" ca="1" si="11"/>
        <v>1.0727784366699642</v>
      </c>
      <c r="F96" s="20"/>
      <c r="H96" s="19">
        <f t="array" aca="1" ref="H96:J96" ca="1">TRANSPOSE(MMULT(adjchol,TRANSPOSE(C96:E96)))</f>
        <v>1.2919968760430496</v>
      </c>
      <c r="I96" s="19">
        <f ca="1"/>
        <v>1.0536951756031385</v>
      </c>
      <c r="J96" s="19">
        <f ca="1"/>
        <v>1.5527180866450401</v>
      </c>
      <c r="K96" s="20"/>
      <c r="M96" s="21">
        <f t="shared" ca="1" si="8"/>
        <v>3.2919968760430497E-2</v>
      </c>
      <c r="N96" s="21">
        <f t="shared" ca="1" si="9"/>
        <v>7.2147807024125543E-2</v>
      </c>
      <c r="O96" s="21">
        <f t="shared" ca="1" si="10"/>
        <v>0.32290771299675602</v>
      </c>
    </row>
    <row r="97" spans="2:15">
      <c r="B97" s="12">
        <v>70</v>
      </c>
      <c r="C97" s="19">
        <f t="shared" ca="1" si="11"/>
        <v>-1.0651384350936799</v>
      </c>
      <c r="D97" s="19">
        <f t="shared" ca="1" si="11"/>
        <v>0.24384663781733709</v>
      </c>
      <c r="E97" s="19">
        <f t="shared" ca="1" si="11"/>
        <v>1.6064639713630144</v>
      </c>
      <c r="F97" s="20"/>
      <c r="H97" s="19">
        <f t="array" aca="1" ref="H97:J97" ca="1">TRANSPOSE(MMULT(adjchol,TRANSPOSE(C97:E97)))</f>
        <v>-1.0651384350936799</v>
      </c>
      <c r="I97" s="19">
        <f ca="1"/>
        <v>-0.85233430638751839</v>
      </c>
      <c r="J97" s="19">
        <f ca="1"/>
        <v>-0.10119105247608551</v>
      </c>
      <c r="K97" s="20"/>
      <c r="M97" s="21">
        <f t="shared" ca="1" si="8"/>
        <v>9.3486156490632018E-3</v>
      </c>
      <c r="N97" s="21">
        <f t="shared" ca="1" si="9"/>
        <v>-4.0933722555007365E-3</v>
      </c>
      <c r="O97" s="21">
        <f t="shared" ca="1" si="10"/>
        <v>7.4821342128587168E-2</v>
      </c>
    </row>
    <row r="98" spans="2:15">
      <c r="B98" s="12">
        <v>71</v>
      </c>
      <c r="C98" s="19">
        <f t="shared" ca="1" si="11"/>
        <v>0.16771228709100661</v>
      </c>
      <c r="D98" s="19">
        <f t="shared" ca="1" si="11"/>
        <v>0.59294971446379452</v>
      </c>
      <c r="E98" s="19">
        <f t="shared" ca="1" si="11"/>
        <v>-0.82345991928247986</v>
      </c>
      <c r="F98" s="20"/>
      <c r="H98" s="19">
        <f t="array" aca="1" ref="H98:J98" ca="1">TRANSPOSE(MMULT(adjchol,TRANSPOSE(C98:E98)))</f>
        <v>0.16771228709100661</v>
      </c>
      <c r="I98" s="19">
        <f ca="1"/>
        <v>0.40940184677680369</v>
      </c>
      <c r="J98" s="19">
        <f ca="1"/>
        <v>-0.59174572245797274</v>
      </c>
      <c r="K98" s="20"/>
      <c r="M98" s="21">
        <f t="shared" ca="1" si="8"/>
        <v>2.1677122870910066E-2</v>
      </c>
      <c r="N98" s="21">
        <f t="shared" ca="1" si="9"/>
        <v>4.6376073871072149E-2</v>
      </c>
      <c r="O98" s="21">
        <f t="shared" ca="1" si="10"/>
        <v>1.2381416313040905E-3</v>
      </c>
    </row>
    <row r="99" spans="2:15">
      <c r="B99" s="12">
        <v>72</v>
      </c>
      <c r="C99" s="19">
        <f t="shared" ca="1" si="11"/>
        <v>0.48179432645327996</v>
      </c>
      <c r="D99" s="19">
        <f t="shared" ca="1" si="11"/>
        <v>-0.87738779531748756</v>
      </c>
      <c r="E99" s="19">
        <f t="shared" ca="1" si="11"/>
        <v>-0.30565134130188065</v>
      </c>
      <c r="F99" s="20"/>
      <c r="H99" s="19">
        <f t="array" aca="1" ref="H99:J99" ca="1">TRANSPOSE(MMULT(adjchol,TRANSPOSE(C99:E99)))</f>
        <v>0.48179432645327996</v>
      </c>
      <c r="I99" s="19">
        <f ca="1"/>
        <v>5.1170420399464345E-2</v>
      </c>
      <c r="J99" s="19">
        <f ca="1"/>
        <v>0.65312760173776785</v>
      </c>
      <c r="K99" s="20"/>
      <c r="M99" s="21">
        <f t="shared" ca="1" si="8"/>
        <v>2.48179432645328E-2</v>
      </c>
      <c r="N99" s="21">
        <f t="shared" ca="1" si="9"/>
        <v>3.2046816815978575E-2</v>
      </c>
      <c r="O99" s="21">
        <f t="shared" ca="1" si="10"/>
        <v>0.18796914026066519</v>
      </c>
    </row>
    <row r="100" spans="2:15">
      <c r="B100" s="12">
        <v>73</v>
      </c>
      <c r="C100" s="19">
        <f t="shared" ca="1" si="11"/>
        <v>4.3540296050184661E-2</v>
      </c>
      <c r="D100" s="19">
        <f t="shared" ca="1" si="11"/>
        <v>-0.33404356057921281</v>
      </c>
      <c r="E100" s="19">
        <f t="shared" ca="1" si="11"/>
        <v>-0.10485934845080261</v>
      </c>
      <c r="F100" s="20"/>
      <c r="H100" s="19">
        <f t="array" aca="1" ref="H100:J100" ca="1">TRANSPOSE(MMULT(adjchol,TRANSPOSE(C100:E100)))</f>
        <v>4.3540296050184661E-2</v>
      </c>
      <c r="I100" s="19">
        <f ca="1"/>
        <v>-0.10641994588536334</v>
      </c>
      <c r="J100" s="19">
        <f ca="1"/>
        <v>0.1562772614223451</v>
      </c>
      <c r="K100" s="20"/>
      <c r="M100" s="21">
        <f t="shared" ca="1" si="8"/>
        <v>2.0435402960501847E-2</v>
      </c>
      <c r="N100" s="21">
        <f t="shared" ca="1" si="9"/>
        <v>2.5743202164585463E-2</v>
      </c>
      <c r="O100" s="21">
        <f t="shared" ca="1" si="10"/>
        <v>0.11344158921335176</v>
      </c>
    </row>
    <row r="101" spans="2:15">
      <c r="B101" s="12">
        <v>74</v>
      </c>
      <c r="C101" s="19">
        <f t="shared" ca="1" si="11"/>
        <v>0.68183723049306733</v>
      </c>
      <c r="D101" s="19">
        <f t="shared" ca="1" si="11"/>
        <v>1.7367867959822789</v>
      </c>
      <c r="E101" s="19">
        <f t="shared" ca="1" si="11"/>
        <v>-0.2082535930082384</v>
      </c>
      <c r="F101" s="20"/>
      <c r="H101" s="19">
        <f t="array" aca="1" ref="H101:J101" ca="1">TRANSPOSE(MMULT(adjchol,TRANSPOSE(C101:E101)))</f>
        <v>0.68183723049306733</v>
      </c>
      <c r="I101" s="19">
        <f ca="1"/>
        <v>1.3707013204600151</v>
      </c>
      <c r="J101" s="19">
        <f ca="1"/>
        <v>-0.53935738696112834</v>
      </c>
      <c r="K101" s="20"/>
      <c r="M101" s="21">
        <f t="shared" ca="1" si="8"/>
        <v>2.6818372304930675E-2</v>
      </c>
      <c r="N101" s="21">
        <f t="shared" ca="1" si="9"/>
        <v>8.4828052818400612E-2</v>
      </c>
      <c r="O101" s="21">
        <f t="shared" ca="1" si="10"/>
        <v>9.0963919558307432E-3</v>
      </c>
    </row>
    <row r="102" spans="2:15">
      <c r="B102" s="12">
        <v>75</v>
      </c>
      <c r="C102" s="19">
        <f t="shared" ca="1" si="11"/>
        <v>1.8074085576016943E-2</v>
      </c>
      <c r="D102" s="19">
        <f t="shared" ca="1" si="11"/>
        <v>-1.3669946060286624</v>
      </c>
      <c r="E102" s="19">
        <f t="shared" ca="1" si="11"/>
        <v>0.77380314502412795</v>
      </c>
      <c r="F102" s="20"/>
      <c r="H102" s="19">
        <f t="array" aca="1" ref="H102:J102" ca="1">TRANSPOSE(MMULT(adjchol,TRANSPOSE(C102:E102)))</f>
        <v>1.8074085576016943E-2</v>
      </c>
      <c r="I102" s="19">
        <f ca="1"/>
        <v>-0.57959245738599829</v>
      </c>
      <c r="J102" s="19">
        <f ca="1"/>
        <v>1.1063296042374173</v>
      </c>
      <c r="K102" s="20"/>
      <c r="M102" s="21">
        <f t="shared" ca="1" si="8"/>
        <v>2.018074085576017E-2</v>
      </c>
      <c r="N102" s="21">
        <f t="shared" ca="1" si="9"/>
        <v>6.8163017045600668E-3</v>
      </c>
      <c r="O102" s="21">
        <f t="shared" ca="1" si="10"/>
        <v>0.25594944063561259</v>
      </c>
    </row>
    <row r="103" spans="2:15">
      <c r="B103" s="12">
        <v>76</v>
      </c>
      <c r="C103" s="19">
        <f t="shared" ca="1" si="11"/>
        <v>-0.66784923023466025</v>
      </c>
      <c r="D103" s="19">
        <f t="shared" ca="1" si="11"/>
        <v>-2.5031054529193915</v>
      </c>
      <c r="E103" s="19">
        <f t="shared" ca="1" si="11"/>
        <v>1.8764386079477775</v>
      </c>
      <c r="F103" s="20"/>
      <c r="H103" s="19">
        <f t="array" aca="1" ref="H103:J103" ca="1">TRANSPOSE(MMULT(adjchol,TRANSPOSE(C103:E103)))</f>
        <v>-0.66784923023466025</v>
      </c>
      <c r="I103" s="19">
        <f ca="1"/>
        <v>-1.6921426786413174</v>
      </c>
      <c r="J103" s="19">
        <f ca="1"/>
        <v>1.75627660978614</v>
      </c>
      <c r="K103" s="20"/>
      <c r="M103" s="21">
        <f t="shared" ca="1" si="8"/>
        <v>1.3321507697653397E-2</v>
      </c>
      <c r="N103" s="21">
        <f t="shared" ca="1" si="9"/>
        <v>-3.7685707145652697E-2</v>
      </c>
      <c r="O103" s="21">
        <f t="shared" ca="1" si="10"/>
        <v>0.35344149146792103</v>
      </c>
    </row>
    <row r="104" spans="2:15">
      <c r="B104" s="12">
        <v>77</v>
      </c>
      <c r="C104" s="19">
        <f t="shared" ca="1" si="11"/>
        <v>-0.71056413174535193</v>
      </c>
      <c r="D104" s="19">
        <f t="shared" ca="1" si="11"/>
        <v>0.55843169360829481</v>
      </c>
      <c r="E104" s="19">
        <f t="shared" ca="1" si="11"/>
        <v>-0.75965775341445763</v>
      </c>
      <c r="F104" s="20"/>
      <c r="H104" s="19">
        <f t="array" aca="1" ref="H104:J104" ca="1">TRANSPOSE(MMULT(adjchol,TRANSPOSE(C104:E104)))</f>
        <v>-0.71056413174535193</v>
      </c>
      <c r="I104" s="19">
        <f ca="1"/>
        <v>-0.39609298663993431</v>
      </c>
      <c r="J104" s="19">
        <f ca="1"/>
        <v>-1.157622275168531</v>
      </c>
      <c r="K104" s="20"/>
      <c r="M104" s="21">
        <f t="shared" ca="1" si="8"/>
        <v>1.2894358682546481E-2</v>
      </c>
      <c r="N104" s="21">
        <f t="shared" ca="1" si="9"/>
        <v>1.4156280534402627E-2</v>
      </c>
      <c r="O104" s="21">
        <f t="shared" ca="1" si="10"/>
        <v>-8.3643341275279642E-2</v>
      </c>
    </row>
    <row r="105" spans="2:15">
      <c r="B105" s="12">
        <v>78</v>
      </c>
      <c r="C105" s="19">
        <f t="shared" ca="1" si="11"/>
        <v>-1.0181067911517494</v>
      </c>
      <c r="D105" s="19">
        <f t="shared" ca="1" si="11"/>
        <v>-0.67267633902652413</v>
      </c>
      <c r="E105" s="19">
        <f t="shared" ca="1" si="11"/>
        <v>0.73328708730860825</v>
      </c>
      <c r="F105" s="20"/>
      <c r="H105" s="19">
        <f t="array" aca="1" ref="H105:J105" ca="1">TRANSPOSE(MMULT(adjchol,TRANSPOSE(C105:E105)))</f>
        <v>-1.0181067911517494</v>
      </c>
      <c r="I105" s="19">
        <f ca="1"/>
        <v>-1.2095089303893269</v>
      </c>
      <c r="J105" s="19">
        <f ca="1"/>
        <v>-4.8557402066061184E-3</v>
      </c>
      <c r="K105" s="20"/>
      <c r="M105" s="21">
        <f t="shared" ca="1" si="8"/>
        <v>9.8189320884825067E-3</v>
      </c>
      <c r="N105" s="21">
        <f t="shared" ca="1" si="9"/>
        <v>-1.838035721557308E-2</v>
      </c>
      <c r="O105" s="21">
        <f t="shared" ca="1" si="10"/>
        <v>8.9271638969009082E-2</v>
      </c>
    </row>
    <row r="106" spans="2:15">
      <c r="B106" s="12">
        <v>79</v>
      </c>
      <c r="C106" s="19">
        <f t="shared" ca="1" si="11"/>
        <v>-1.9605632154861485</v>
      </c>
      <c r="D106" s="19">
        <f t="shared" ca="1" si="11"/>
        <v>-0.86448103588246972</v>
      </c>
      <c r="E106" s="19">
        <f t="shared" ca="1" si="11"/>
        <v>-0.58160790550599628</v>
      </c>
      <c r="F106" s="20"/>
      <c r="H106" s="19">
        <f t="array" aca="1" ref="H106:J106" ca="1">TRANSPOSE(MMULT(adjchol,TRANSPOSE(C106:E106)))</f>
        <v>-1.9605632154861485</v>
      </c>
      <c r="I106" s="19">
        <f ca="1"/>
        <v>-2.141325441339438</v>
      </c>
      <c r="J106" s="19">
        <f ca="1"/>
        <v>-1.1961306215245968</v>
      </c>
      <c r="K106" s="20"/>
      <c r="M106" s="21">
        <f t="shared" ca="1" si="8"/>
        <v>3.9436784513851436E-4</v>
      </c>
      <c r="N106" s="21">
        <f t="shared" ca="1" si="9"/>
        <v>-5.5653017653577525E-2</v>
      </c>
      <c r="O106" s="21">
        <f t="shared" ca="1" si="10"/>
        <v>-8.9419593228689531E-2</v>
      </c>
    </row>
    <row r="107" spans="2:15">
      <c r="B107" s="12">
        <v>80</v>
      </c>
      <c r="C107" s="19">
        <f t="shared" ca="1" si="11"/>
        <v>0.68061099568286143</v>
      </c>
      <c r="D107" s="19">
        <f t="shared" ca="1" si="11"/>
        <v>1.9797637926202845</v>
      </c>
      <c r="E107" s="19">
        <f t="shared" ca="1" si="11"/>
        <v>0.59962124569636022</v>
      </c>
      <c r="F107" s="20"/>
      <c r="H107" s="19">
        <f t="array" aca="1" ref="H107:J107" ca="1">TRANSPOSE(MMULT(adjchol,TRANSPOSE(C107:E107)))</f>
        <v>0.68061099568286143</v>
      </c>
      <c r="I107" s="19">
        <f ca="1"/>
        <v>1.4755089265258388</v>
      </c>
      <c r="J107" s="19">
        <f ca="1"/>
        <v>-0.27965328348063373</v>
      </c>
      <c r="K107" s="20"/>
      <c r="M107" s="21">
        <f t="shared" ca="1" si="8"/>
        <v>2.6806109956828614E-2</v>
      </c>
      <c r="N107" s="21">
        <f t="shared" ca="1" si="9"/>
        <v>8.9020357061033548E-2</v>
      </c>
      <c r="O107" s="21">
        <f t="shared" ca="1" si="10"/>
        <v>4.8052007477904939E-2</v>
      </c>
    </row>
    <row r="108" spans="2:15">
      <c r="B108" s="12">
        <v>81</v>
      </c>
      <c r="C108" s="19">
        <f t="shared" ca="1" si="11"/>
        <v>-0.30163686215971114</v>
      </c>
      <c r="D108" s="19">
        <f t="shared" ca="1" si="11"/>
        <v>0.37783005541528603</v>
      </c>
      <c r="E108" s="19">
        <f t="shared" ca="1" si="11"/>
        <v>1.5385468788193557</v>
      </c>
      <c r="F108" s="20"/>
      <c r="H108" s="19">
        <f t="array" aca="1" ref="H108:J108" ca="1">TRANSPOSE(MMULT(adjchol,TRANSPOSE(C108:E108)))</f>
        <v>-0.30163686215971114</v>
      </c>
      <c r="I108" s="19">
        <f ca="1"/>
        <v>-0.10678087300497963</v>
      </c>
      <c r="J108" s="19">
        <f ca="1"/>
        <v>0.3298793642545077</v>
      </c>
      <c r="K108" s="20"/>
      <c r="M108" s="21">
        <f t="shared" ca="1" si="8"/>
        <v>1.6983631378402888E-2</v>
      </c>
      <c r="N108" s="21">
        <f t="shared" ca="1" si="9"/>
        <v>2.5728765079800812E-2</v>
      </c>
      <c r="O108" s="21">
        <f t="shared" ca="1" si="10"/>
        <v>0.13948190463817614</v>
      </c>
    </row>
    <row r="109" spans="2:15">
      <c r="B109" s="12">
        <v>82</v>
      </c>
      <c r="C109" s="19">
        <f t="shared" ca="1" si="11"/>
        <v>-0.70966876414093627</v>
      </c>
      <c r="D109" s="19">
        <f t="shared" ca="1" si="11"/>
        <v>-8.0699920411805751E-2</v>
      </c>
      <c r="E109" s="19">
        <f t="shared" ca="1" si="11"/>
        <v>-0.19371681358833276</v>
      </c>
      <c r="F109" s="20"/>
      <c r="H109" s="19">
        <f t="array" aca="1" ref="H109:J109" ca="1">TRANSPOSE(MMULT(adjchol,TRANSPOSE(C109:E109)))</f>
        <v>-0.70966876414093627</v>
      </c>
      <c r="I109" s="19">
        <f ca="1"/>
        <v>-0.67387816750952634</v>
      </c>
      <c r="J109" s="19">
        <f ca="1"/>
        <v>-0.54740798734155027</v>
      </c>
      <c r="K109" s="20"/>
      <c r="M109" s="21">
        <f t="shared" ca="1" si="8"/>
        <v>1.2903312358590636E-2</v>
      </c>
      <c r="N109" s="21">
        <f t="shared" ca="1" si="9"/>
        <v>3.0448732996189443E-3</v>
      </c>
      <c r="O109" s="21">
        <f t="shared" ca="1" si="10"/>
        <v>7.8888018987674641E-3</v>
      </c>
    </row>
    <row r="110" spans="2:15">
      <c r="B110" s="12">
        <v>83</v>
      </c>
      <c r="C110" s="19">
        <f t="shared" ca="1" si="11"/>
        <v>-6.020876909554463E-2</v>
      </c>
      <c r="D110" s="19">
        <f t="shared" ca="1" si="11"/>
        <v>-1.0751306805335992</v>
      </c>
      <c r="E110" s="19">
        <f t="shared" ca="1" si="11"/>
        <v>2.1280293672638382</v>
      </c>
      <c r="F110" s="20"/>
      <c r="H110" s="19">
        <f t="array" aca="1" ref="H110:J110" ca="1">TRANSPOSE(MMULT(adjchol,TRANSPOSE(C110:E110)))</f>
        <v>-6.020876909554463E-2</v>
      </c>
      <c r="I110" s="19">
        <f ca="1"/>
        <v>-0.52282649094059719</v>
      </c>
      <c r="J110" s="19">
        <f ca="1"/>
        <v>1.5492173491053163</v>
      </c>
      <c r="K110" s="20"/>
      <c r="M110" s="21">
        <f t="shared" ca="1" si="8"/>
        <v>1.9397912309044554E-2</v>
      </c>
      <c r="N110" s="21">
        <f t="shared" ca="1" si="9"/>
        <v>9.08694036237611E-3</v>
      </c>
      <c r="O110" s="21">
        <f t="shared" ca="1" si="10"/>
        <v>0.32238260236579741</v>
      </c>
    </row>
    <row r="111" spans="2:15">
      <c r="B111" s="12">
        <v>84</v>
      </c>
      <c r="C111" s="19">
        <f t="shared" ca="1" si="11"/>
        <v>0.51329026256090149</v>
      </c>
      <c r="D111" s="19">
        <f t="shared" ca="1" si="11"/>
        <v>-0.6015241560392468</v>
      </c>
      <c r="E111" s="19">
        <f t="shared" ca="1" si="11"/>
        <v>-1.130790109910067</v>
      </c>
      <c r="F111" s="20"/>
      <c r="H111" s="19">
        <f t="array" aca="1" ref="H111:J111" ca="1">TRANSPOSE(MMULT(adjchol,TRANSPOSE(C111:E111)))</f>
        <v>0.51329026256090149</v>
      </c>
      <c r="I111" s="19">
        <f ca="1"/>
        <v>0.19976293547744456</v>
      </c>
      <c r="J111" s="19">
        <f ca="1"/>
        <v>0.13253495647034885</v>
      </c>
      <c r="K111" s="20"/>
      <c r="M111" s="21">
        <f t="shared" ca="1" si="8"/>
        <v>2.5132902625609015E-2</v>
      </c>
      <c r="N111" s="21">
        <f t="shared" ca="1" si="9"/>
        <v>3.7990517419097786E-2</v>
      </c>
      <c r="O111" s="21">
        <f t="shared" ca="1" si="10"/>
        <v>0.10988024347055232</v>
      </c>
    </row>
    <row r="112" spans="2:15">
      <c r="B112" s="12">
        <v>85</v>
      </c>
      <c r="C112" s="19">
        <f t="shared" ca="1" si="11"/>
        <v>-1.7549509511867036</v>
      </c>
      <c r="D112" s="19">
        <f t="shared" ca="1" si="11"/>
        <v>0.18175286920251971</v>
      </c>
      <c r="E112" s="19">
        <f t="shared" ca="1" si="11"/>
        <v>-0.62567228614902015</v>
      </c>
      <c r="F112" s="20"/>
      <c r="H112" s="19">
        <f t="array" aca="1" ref="H112:J112" ca="1">TRANSPOSE(MMULT(adjchol,TRANSPOSE(C112:E112)))</f>
        <v>-1.7549509511867036</v>
      </c>
      <c r="I112" s="19">
        <f ca="1"/>
        <v>-1.5002316171127985</v>
      </c>
      <c r="J112" s="19">
        <f ca="1"/>
        <v>-1.6254587783381489</v>
      </c>
      <c r="K112" s="20"/>
      <c r="M112" s="21">
        <f t="shared" ca="1" si="8"/>
        <v>2.4504904881329642E-3</v>
      </c>
      <c r="N112" s="21">
        <f t="shared" ca="1" si="9"/>
        <v>-3.0009264684511941E-2</v>
      </c>
      <c r="O112" s="21">
        <f t="shared" ca="1" si="10"/>
        <v>-0.15381881675072231</v>
      </c>
    </row>
    <row r="113" spans="2:15">
      <c r="B113" s="12">
        <v>86</v>
      </c>
      <c r="C113" s="19">
        <f t="shared" ca="1" si="11"/>
        <v>0.4969311005123907</v>
      </c>
      <c r="D113" s="19">
        <f t="shared" ca="1" si="11"/>
        <v>-0.87859539667568343</v>
      </c>
      <c r="E113" s="19">
        <f t="shared" ca="1" si="11"/>
        <v>0.18001430369917967</v>
      </c>
      <c r="F113" s="20"/>
      <c r="H113" s="19">
        <f t="array" aca="1" ref="H113:J113" ca="1">TRANSPOSE(MMULT(adjchol,TRANSPOSE(C113:E113)))</f>
        <v>0.4969311005123907</v>
      </c>
      <c r="I113" s="19">
        <f ca="1"/>
        <v>6.4267135824218169E-2</v>
      </c>
      <c r="J113" s="19">
        <f ca="1"/>
        <v>0.89807572196964724</v>
      </c>
      <c r="K113" s="20"/>
      <c r="M113" s="21">
        <f t="shared" ca="1" si="8"/>
        <v>2.4969311005123909E-2</v>
      </c>
      <c r="N113" s="21">
        <f t="shared" ca="1" si="9"/>
        <v>3.2570685432968725E-2</v>
      </c>
      <c r="O113" s="21">
        <f t="shared" ca="1" si="10"/>
        <v>0.22471135829544708</v>
      </c>
    </row>
    <row r="114" spans="2:15">
      <c r="B114" s="12">
        <v>87</v>
      </c>
      <c r="C114" s="19">
        <f t="shared" ca="1" si="11"/>
        <v>-0.92159799881213389</v>
      </c>
      <c r="D114" s="19">
        <f t="shared" ca="1" si="11"/>
        <v>1.6287970838934345</v>
      </c>
      <c r="E114" s="19">
        <f t="shared" ca="1" si="11"/>
        <v>-0.98640662361348608</v>
      </c>
      <c r="F114" s="20"/>
      <c r="H114" s="19">
        <f t="array" aca="1" ref="H114:J114" ca="1">TRANSPOSE(MMULT(adjchol,TRANSPOSE(C114:E114)))</f>
        <v>-0.92159799881213389</v>
      </c>
      <c r="I114" s="19">
        <f ca="1"/>
        <v>-0.11946201010839852</v>
      </c>
      <c r="J114" s="19">
        <f ca="1"/>
        <v>-1.9792484695228905</v>
      </c>
      <c r="K114" s="20"/>
      <c r="M114" s="21">
        <f t="shared" ca="1" si="8"/>
        <v>1.0784020011878661E-2</v>
      </c>
      <c r="N114" s="21">
        <f t="shared" ca="1" si="9"/>
        <v>2.5221519595664058E-2</v>
      </c>
      <c r="O114" s="21">
        <f t="shared" ca="1" si="10"/>
        <v>-0.20688727042843355</v>
      </c>
    </row>
    <row r="115" spans="2:15">
      <c r="B115" s="12">
        <v>88</v>
      </c>
      <c r="C115" s="19">
        <f t="shared" ca="1" si="11"/>
        <v>-0.4252793505737153</v>
      </c>
      <c r="D115" s="19">
        <f t="shared" ca="1" si="11"/>
        <v>0.3796150373515581</v>
      </c>
      <c r="E115" s="19">
        <f t="shared" ca="1" si="11"/>
        <v>1.1998702538105336E-2</v>
      </c>
      <c r="F115" s="20"/>
      <c r="H115" s="19">
        <f t="array" aca="1" ref="H115:J115" ca="1">TRANSPOSE(MMULT(adjchol,TRANSPOSE(C115:E115)))</f>
        <v>-0.4252793505737153</v>
      </c>
      <c r="I115" s="19">
        <f ca="1"/>
        <v>-0.21728105698995781</v>
      </c>
      <c r="J115" s="19">
        <f ca="1"/>
        <v>-0.49222767521573108</v>
      </c>
      <c r="K115" s="20"/>
      <c r="M115" s="21">
        <f t="shared" ca="1" si="8"/>
        <v>1.5747206494262846E-2</v>
      </c>
      <c r="N115" s="21">
        <f t="shared" ca="1" si="9"/>
        <v>2.1308757720401687E-2</v>
      </c>
      <c r="O115" s="21">
        <f t="shared" ca="1" si="10"/>
        <v>1.6165848717640333E-2</v>
      </c>
    </row>
    <row r="116" spans="2:15">
      <c r="B116" s="12">
        <v>89</v>
      </c>
      <c r="C116" s="19">
        <f t="shared" ca="1" si="11"/>
        <v>1.2759661391905384</v>
      </c>
      <c r="D116" s="19">
        <f t="shared" ca="1" si="11"/>
        <v>0.25784150071926104</v>
      </c>
      <c r="E116" s="19">
        <f t="shared" ca="1" si="11"/>
        <v>-1.855517535987969</v>
      </c>
      <c r="F116" s="20"/>
      <c r="H116" s="19">
        <f t="array" aca="1" ref="H116:J116" ca="1">TRANSPOSE(MMULT(adjchol,TRANSPOSE(C116:E116)))</f>
        <v>1.2759661391905384</v>
      </c>
      <c r="I116" s="19">
        <f ca="1"/>
        <v>1.2607600297800974</v>
      </c>
      <c r="J116" s="19">
        <f ca="1"/>
        <v>-0.13579958136255432</v>
      </c>
      <c r="K116" s="20"/>
      <c r="M116" s="21">
        <f t="shared" ca="1" si="8"/>
        <v>3.2759661391905386E-2</v>
      </c>
      <c r="N116" s="21">
        <f t="shared" ca="1" si="9"/>
        <v>8.0430401191203899E-2</v>
      </c>
      <c r="O116" s="21">
        <f t="shared" ca="1" si="10"/>
        <v>6.9630062795616843E-2</v>
      </c>
    </row>
    <row r="117" spans="2:15">
      <c r="B117" s="12">
        <v>90</v>
      </c>
      <c r="C117" s="19">
        <f t="shared" ca="1" si="11"/>
        <v>1.6047178468008811</v>
      </c>
      <c r="D117" s="19">
        <f t="shared" ca="1" si="11"/>
        <v>0.24202402123059924</v>
      </c>
      <c r="E117" s="19">
        <f t="shared" ca="1" si="11"/>
        <v>-2.0002889654439553</v>
      </c>
      <c r="F117" s="20"/>
      <c r="H117" s="19">
        <f t="array" aca="1" ref="H117:J117" ca="1">TRANSPOSE(MMULT(adjchol,TRANSPOSE(C117:E117)))</f>
        <v>1.6047178468008811</v>
      </c>
      <c r="I117" s="19">
        <f ca="1"/>
        <v>1.5497418871661455</v>
      </c>
      <c r="J117" s="19">
        <f ca="1"/>
        <v>3.3004956135583408E-2</v>
      </c>
      <c r="K117" s="20"/>
      <c r="M117" s="21">
        <f t="shared" ca="1" si="8"/>
        <v>3.6047178468008811E-2</v>
      </c>
      <c r="N117" s="21">
        <f t="shared" ca="1" si="9"/>
        <v>9.1989675486645828E-2</v>
      </c>
      <c r="O117" s="21">
        <f t="shared" ca="1" si="10"/>
        <v>9.4950743420337505E-2</v>
      </c>
    </row>
    <row r="118" spans="2:15">
      <c r="B118" s="12">
        <v>91</v>
      </c>
      <c r="C118" s="19">
        <f t="shared" ca="1" si="11"/>
        <v>1.0521801541493425</v>
      </c>
      <c r="D118" s="19">
        <f t="shared" ca="1" si="11"/>
        <v>-0.86589233933720888</v>
      </c>
      <c r="E118" s="19">
        <f t="shared" ca="1" si="11"/>
        <v>0.5046787056452342</v>
      </c>
      <c r="F118" s="20"/>
      <c r="H118" s="19">
        <f t="array" aca="1" ref="H118:J118" ca="1">TRANSPOSE(MMULT(adjchol,TRANSPOSE(C118:E118)))</f>
        <v>1.0521801541493425</v>
      </c>
      <c r="I118" s="19">
        <f ca="1"/>
        <v>0.56952841841871615</v>
      </c>
      <c r="J118" s="19">
        <f ca="1"/>
        <v>1.4362843275629948</v>
      </c>
      <c r="K118" s="20"/>
      <c r="M118" s="21">
        <f t="shared" ca="1" si="8"/>
        <v>3.0521801541493428E-2</v>
      </c>
      <c r="N118" s="21">
        <f t="shared" ca="1" si="9"/>
        <v>5.2781136736748641E-2</v>
      </c>
      <c r="O118" s="21">
        <f t="shared" ca="1" si="10"/>
        <v>0.30544264913444918</v>
      </c>
    </row>
    <row r="119" spans="2:15">
      <c r="B119" s="12">
        <v>92</v>
      </c>
      <c r="C119" s="19">
        <f t="shared" ca="1" si="11"/>
        <v>0.7624497681347906</v>
      </c>
      <c r="D119" s="19">
        <f t="shared" ca="1" si="11"/>
        <v>-0.84926520101010372</v>
      </c>
      <c r="E119" s="19">
        <f t="shared" ca="1" si="11"/>
        <v>1.1563974588640533</v>
      </c>
      <c r="F119" s="20"/>
      <c r="H119" s="19">
        <f t="array" aca="1" ref="H119:J119" ca="1">TRANSPOSE(MMULT(adjchol,TRANSPOSE(C119:E119)))</f>
        <v>0.7624497681347906</v>
      </c>
      <c r="I119" s="19">
        <f ca="1"/>
        <v>0.31601867257443167</v>
      </c>
      <c r="J119" s="19">
        <f ca="1"/>
        <v>1.5383239815994978</v>
      </c>
      <c r="K119" s="20"/>
      <c r="M119" s="21">
        <f t="shared" ca="1" si="8"/>
        <v>2.7624497681347907E-2</v>
      </c>
      <c r="N119" s="21">
        <f t="shared" ca="1" si="9"/>
        <v>4.264074690297727E-2</v>
      </c>
      <c r="O119" s="21">
        <f t="shared" ca="1" si="10"/>
        <v>0.32074859723992466</v>
      </c>
    </row>
    <row r="120" spans="2:15">
      <c r="B120" s="12">
        <v>93</v>
      </c>
      <c r="C120" s="19">
        <f t="shared" ca="1" si="11"/>
        <v>-0.50492568463666376</v>
      </c>
      <c r="D120" s="19">
        <f t="shared" ca="1" si="11"/>
        <v>-0.1101349742583652</v>
      </c>
      <c r="E120" s="19">
        <f t="shared" ca="1" si="11"/>
        <v>0.54555969014943495</v>
      </c>
      <c r="F120" s="20"/>
      <c r="H120" s="19">
        <f t="array" aca="1" ref="H120:J120" ca="1">TRANSPOSE(MMULT(adjchol,TRANSPOSE(C120:E120)))</f>
        <v>-0.50492568463666376</v>
      </c>
      <c r="I120" s="19">
        <f ca="1"/>
        <v>-0.50243983846716411</v>
      </c>
      <c r="J120" s="19">
        <f ca="1"/>
        <v>-3.2796796604044054E-2</v>
      </c>
      <c r="K120" s="20"/>
      <c r="M120" s="21">
        <f t="shared" ca="1" si="8"/>
        <v>1.4950743153633362E-2</v>
      </c>
      <c r="N120" s="21">
        <f t="shared" ca="1" si="9"/>
        <v>9.9024064613134344E-3</v>
      </c>
      <c r="O120" s="21">
        <f t="shared" ca="1" si="10"/>
        <v>8.5080480509393389E-2</v>
      </c>
    </row>
    <row r="121" spans="2:15">
      <c r="B121" s="12">
        <v>94</v>
      </c>
      <c r="C121" s="19">
        <f t="shared" ca="1" si="11"/>
        <v>-0.30314210321915774</v>
      </c>
      <c r="D121" s="19">
        <f t="shared" ca="1" si="11"/>
        <v>-0.60552761801601962</v>
      </c>
      <c r="E121" s="19">
        <f t="shared" ca="1" si="11"/>
        <v>1.1635860874048995</v>
      </c>
      <c r="F121" s="20"/>
      <c r="H121" s="19">
        <f t="array" aca="1" ref="H121:J121" ca="1">TRANSPOSE(MMULT(adjchol,TRANSPOSE(C121:E121)))</f>
        <v>-0.30314210321915774</v>
      </c>
      <c r="I121" s="19">
        <f ca="1"/>
        <v>-0.53677126234271477</v>
      </c>
      <c r="J121" s="19">
        <f ca="1"/>
        <v>0.66725938633597004</v>
      </c>
      <c r="K121" s="20"/>
      <c r="M121" s="21">
        <f t="shared" ca="1" si="8"/>
        <v>1.6968578967808422E-2</v>
      </c>
      <c r="N121" s="21">
        <f t="shared" ca="1" si="9"/>
        <v>8.5291495062914079E-3</v>
      </c>
      <c r="O121" s="21">
        <f t="shared" ca="1" si="10"/>
        <v>0.19008890795039551</v>
      </c>
    </row>
    <row r="122" spans="2:15">
      <c r="B122" s="12">
        <v>95</v>
      </c>
      <c r="C122" s="19">
        <f t="shared" ca="1" si="11"/>
        <v>-2.3178402496410007</v>
      </c>
      <c r="D122" s="19">
        <f t="shared" ca="1" si="11"/>
        <v>2.0441589560269469</v>
      </c>
      <c r="E122" s="19">
        <f t="shared" ca="1" si="11"/>
        <v>0.21573991348092525</v>
      </c>
      <c r="F122" s="20"/>
      <c r="H122" s="19">
        <f t="array" aca="1" ref="H122:J122" ca="1">TRANSPOSE(MMULT(adjchol,TRANSPOSE(C122:E122)))</f>
        <v>-2.3178402496410007</v>
      </c>
      <c r="I122" s="19">
        <f ca="1"/>
        <v>-1.1950279932913945</v>
      </c>
      <c r="J122" s="19">
        <f ca="1"/>
        <v>-2.5972815327901775</v>
      </c>
      <c r="K122" s="20"/>
      <c r="M122" s="21">
        <f t="shared" ca="1" si="8"/>
        <v>-3.1784024964100072E-3</v>
      </c>
      <c r="N122" s="21">
        <f t="shared" ca="1" si="9"/>
        <v>-1.7801119731655782E-2</v>
      </c>
      <c r="O122" s="21">
        <f t="shared" ca="1" si="10"/>
        <v>-0.29959222991852663</v>
      </c>
    </row>
    <row r="123" spans="2:15">
      <c r="B123" s="12">
        <v>96</v>
      </c>
      <c r="C123" s="19">
        <f t="shared" ca="1" si="11"/>
        <v>-1.2142918999444128</v>
      </c>
      <c r="D123" s="19">
        <f t="shared" ca="1" si="11"/>
        <v>-1.0527244928389645</v>
      </c>
      <c r="E123" s="19">
        <f t="shared" ca="1" si="11"/>
        <v>-0.80730905109354878</v>
      </c>
      <c r="F123" s="20"/>
      <c r="H123" s="19">
        <f t="array" aca="1" ref="H123:J123" ca="1">TRANSPOSE(MMULT(adjchol,TRANSPOSE(C123:E123)))</f>
        <v>-1.2142918999444128</v>
      </c>
      <c r="I123" s="19">
        <f ca="1"/>
        <v>-1.5517346779174868</v>
      </c>
      <c r="J123" s="19">
        <f ca="1"/>
        <v>-0.68302624880629281</v>
      </c>
      <c r="K123" s="20"/>
      <c r="M123" s="21">
        <f t="shared" ca="1" si="8"/>
        <v>7.8570810005558732E-3</v>
      </c>
      <c r="N123" s="21">
        <f t="shared" ca="1" si="9"/>
        <v>-3.2069387116699474E-2</v>
      </c>
      <c r="O123" s="21">
        <f t="shared" ca="1" si="10"/>
        <v>-1.2453937320943922E-2</v>
      </c>
    </row>
    <row r="124" spans="2:15">
      <c r="B124" s="12">
        <v>97</v>
      </c>
      <c r="C124" s="19">
        <f t="shared" ca="1" si="11"/>
        <v>0.83821421906005278</v>
      </c>
      <c r="D124" s="19">
        <f t="shared" ca="1" si="11"/>
        <v>1.0198253424900641</v>
      </c>
      <c r="E124" s="19">
        <f t="shared" ca="1" si="11"/>
        <v>-2.2270748444179378</v>
      </c>
      <c r="F124" s="20"/>
      <c r="H124" s="19">
        <f t="array" aca="1" ref="H124:J124" ca="1">TRANSPOSE(MMULT(adjchol,TRANSPOSE(C124:E124)))</f>
        <v>0.83821421906005278</v>
      </c>
      <c r="I124" s="19">
        <f ca="1"/>
        <v>1.198924357951642</v>
      </c>
      <c r="J124" s="19">
        <f ca="1"/>
        <v>-1.0230946389146962</v>
      </c>
      <c r="K124" s="20"/>
      <c r="M124" s="21">
        <f t="shared" ca="1" si="8"/>
        <v>2.8382142190600528E-2</v>
      </c>
      <c r="N124" s="21">
        <f t="shared" ca="1" si="9"/>
        <v>7.7956974318065669E-2</v>
      </c>
      <c r="O124" s="21">
        <f t="shared" ca="1" si="10"/>
        <v>-6.3464195837204418E-2</v>
      </c>
    </row>
    <row r="125" spans="2:15">
      <c r="B125" s="12">
        <v>98</v>
      </c>
      <c r="C125" s="19">
        <f t="shared" ca="1" si="11"/>
        <v>0.63183692082431508</v>
      </c>
      <c r="D125" s="19">
        <f t="shared" ca="1" si="11"/>
        <v>0.32269096606094538</v>
      </c>
      <c r="E125" s="19">
        <f t="shared" ca="1" si="11"/>
        <v>-1.2670093966386176</v>
      </c>
      <c r="F125" s="20"/>
      <c r="H125" s="19">
        <f t="array" aca="1" ref="H125:J125" ca="1">TRANSPOSE(MMULT(adjchol,TRANSPOSE(C125:E125)))</f>
        <v>0.63183692082431508</v>
      </c>
      <c r="I125" s="19">
        <f ca="1"/>
        <v>0.70931095984720105</v>
      </c>
      <c r="J125" s="19">
        <f ca="1"/>
        <v>-0.3377025418931428</v>
      </c>
      <c r="K125" s="20"/>
      <c r="M125" s="21">
        <f t="shared" ca="1" si="8"/>
        <v>2.6318369208243153E-2</v>
      </c>
      <c r="N125" s="21">
        <f t="shared" ca="1" si="9"/>
        <v>5.8372438393888046E-2</v>
      </c>
      <c r="O125" s="21">
        <f t="shared" ca="1" si="10"/>
        <v>3.9344618716028575E-2</v>
      </c>
    </row>
    <row r="126" spans="2:15">
      <c r="B126" s="12">
        <v>99</v>
      </c>
      <c r="C126" s="19">
        <f t="shared" ca="1" si="11"/>
        <v>0.99070001046893663</v>
      </c>
      <c r="D126" s="19">
        <f t="shared" ca="1" si="11"/>
        <v>-0.34072801503589012</v>
      </c>
      <c r="E126" s="19">
        <f t="shared" ca="1" si="11"/>
        <v>-0.69812243866798152</v>
      </c>
      <c r="F126" s="20"/>
      <c r="H126" s="19">
        <f t="array" aca="1" ref="H126:J126" ca="1">TRANSPOSE(MMULT(adjchol,TRANSPOSE(C126:E126)))</f>
        <v>0.99070001046893663</v>
      </c>
      <c r="I126" s="19">
        <f ca="1"/>
        <v>0.7431101109445778</v>
      </c>
      <c r="J126" s="19">
        <f ca="1"/>
        <v>0.53732223289788061</v>
      </c>
      <c r="K126" s="20"/>
      <c r="M126" s="21">
        <f t="shared" ca="1" si="8"/>
        <v>2.9907000104689364E-2</v>
      </c>
      <c r="N126" s="21">
        <f t="shared" ca="1" si="9"/>
        <v>5.972440443778311E-2</v>
      </c>
      <c r="O126" s="21">
        <f t="shared" ca="1" si="10"/>
        <v>0.17059833493468207</v>
      </c>
    </row>
    <row r="127" spans="2:15">
      <c r="B127" s="12">
        <v>100</v>
      </c>
      <c r="C127" s="19">
        <f t="shared" ca="1" si="11"/>
        <v>1.254088957268922</v>
      </c>
      <c r="D127" s="19">
        <f t="shared" ca="1" si="11"/>
        <v>0.98095627114339257</v>
      </c>
      <c r="E127" s="19">
        <f t="shared" ca="1" si="11"/>
        <v>-0.1410091147261944</v>
      </c>
      <c r="F127" s="20"/>
      <c r="H127" s="19">
        <f t="array" aca="1" ref="H127:J127" ca="1">TRANSPOSE(MMULT(adjchol,TRANSPOSE(C127:E127)))</f>
        <v>1.254088957268922</v>
      </c>
      <c r="I127" s="19">
        <f ca="1"/>
        <v>1.556268986936683</v>
      </c>
      <c r="J127" s="19">
        <f ca="1"/>
        <v>0.29239730036086592</v>
      </c>
      <c r="K127" s="20"/>
      <c r="M127" s="21">
        <f t="shared" ca="1" si="8"/>
        <v>3.2540889572689219E-2</v>
      </c>
      <c r="N127" s="21">
        <f t="shared" ca="1" si="9"/>
        <v>9.2250759477467331E-2</v>
      </c>
      <c r="O127" s="21">
        <f t="shared" ca="1" si="10"/>
        <v>0.13385959505412989</v>
      </c>
    </row>
  </sheetData>
  <pageMargins left="0.7" right="0.7" top="0.75" bottom="0.75" header="0.3" footer="0.3"/>
  <drawing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dimension ref="A4:I504"/>
  <sheetViews>
    <sheetView workbookViewId="0">
      <selection activeCell="B1" sqref="B1"/>
    </sheetView>
  </sheetViews>
  <sheetFormatPr defaultColWidth="8.69140625" defaultRowHeight="14.15"/>
  <cols>
    <col min="1" max="16384" width="8.69140625" style="24"/>
  </cols>
  <sheetData>
    <row r="4" spans="1:5">
      <c r="D4" s="24">
        <v>-100</v>
      </c>
    </row>
    <row r="5" spans="1:5">
      <c r="A5" s="24">
        <v>1</v>
      </c>
      <c r="B5" s="25">
        <f ca="1">sim!M28*100</f>
        <v>0.33341063246093877</v>
      </c>
      <c r="D5" s="24">
        <v>-3</v>
      </c>
      <c r="E5" s="24" cm="1">
        <f t="array" aca="1" ref="E5" ca="1">SUMPRODUCT(IF($B$5:$B$104&gt;D4,1,0),IF($B$5:$B$104&lt;=D5,1,0))</f>
        <v>0</v>
      </c>
    </row>
    <row r="6" spans="1:5">
      <c r="A6" s="24">
        <v>2</v>
      </c>
      <c r="B6" s="25">
        <f ca="1">sim!M29*100</f>
        <v>2.5342596402016526</v>
      </c>
      <c r="D6" s="24">
        <v>-2.9</v>
      </c>
      <c r="E6" s="24" cm="1">
        <f t="array" aca="1" ref="E6" ca="1">SUMPRODUCT(IF($B$5:$B$104&gt;D5,1,0),IF($B$5:$B$104&lt;=D6,1,0))</f>
        <v>0</v>
      </c>
    </row>
    <row r="7" spans="1:5">
      <c r="A7" s="24">
        <v>3</v>
      </c>
      <c r="B7" s="25">
        <f ca="1">sim!M30*100</f>
        <v>2.4138399494102405</v>
      </c>
      <c r="D7" s="24">
        <v>-2.8</v>
      </c>
      <c r="E7" s="24" cm="1">
        <f t="array" aca="1" ref="E7" ca="1">SUMPRODUCT(IF($B$5:$B$104&gt;D6,1,0),IF($B$5:$B$104&lt;=D7,1,0))</f>
        <v>0</v>
      </c>
    </row>
    <row r="8" spans="1:5">
      <c r="A8" s="24">
        <v>4</v>
      </c>
      <c r="B8" s="25">
        <f ca="1">sim!M31*100</f>
        <v>2.4931296292462837</v>
      </c>
      <c r="D8" s="24">
        <v>-2.7</v>
      </c>
      <c r="E8" s="24" cm="1">
        <f t="array" aca="1" ref="E8" ca="1">SUMPRODUCT(IF($B$5:$B$104&gt;D7,1,0),IF($B$5:$B$104&lt;=D8,1,0))</f>
        <v>0</v>
      </c>
    </row>
    <row r="9" spans="1:5">
      <c r="A9" s="24">
        <v>5</v>
      </c>
      <c r="B9" s="25">
        <f ca="1">sim!M32*100</f>
        <v>1.4754956530053103</v>
      </c>
      <c r="D9" s="24">
        <v>-2.6</v>
      </c>
      <c r="E9" s="24" cm="1">
        <f t="array" aca="1" ref="E9" ca="1">SUMPRODUCT(IF($B$5:$B$104&gt;D8,1,0),IF($B$5:$B$104&lt;=D9,1,0))</f>
        <v>0</v>
      </c>
    </row>
    <row r="10" spans="1:5">
      <c r="A10" s="24">
        <v>6</v>
      </c>
      <c r="B10" s="25">
        <f ca="1">sim!M33*100</f>
        <v>2.5173317523567733</v>
      </c>
      <c r="D10" s="24">
        <v>-2.5</v>
      </c>
      <c r="E10" s="24" cm="1">
        <f t="array" aca="1" ref="E10" ca="1">SUMPRODUCT(IF($B$5:$B$104&gt;D9,1,0),IF($B$5:$B$104&lt;=D10,1,0))</f>
        <v>0</v>
      </c>
    </row>
    <row r="11" spans="1:5">
      <c r="A11" s="24">
        <v>7</v>
      </c>
      <c r="B11" s="25">
        <f ca="1">sim!M34*100</f>
        <v>2.1534698732561264</v>
      </c>
      <c r="D11" s="24">
        <v>-2.4</v>
      </c>
      <c r="E11" s="24" cm="1">
        <f t="array" aca="1" ref="E11" ca="1">SUMPRODUCT(IF($B$5:$B$104&gt;D10,1,0),IF($B$5:$B$104&lt;=D11,1,0))</f>
        <v>0</v>
      </c>
    </row>
    <row r="12" spans="1:5">
      <c r="A12" s="24">
        <v>8</v>
      </c>
      <c r="B12" s="25">
        <f ca="1">sim!M35*100</f>
        <v>1.4254825696540281</v>
      </c>
      <c r="D12" s="24">
        <v>-2.2999999999999998</v>
      </c>
      <c r="E12" s="24" cm="1">
        <f t="array" aca="1" ref="E12" ca="1">SUMPRODUCT(IF($B$5:$B$104&gt;D11,1,0),IF($B$5:$B$104&lt;=D12,1,0))</f>
        <v>0</v>
      </c>
    </row>
    <row r="13" spans="1:5">
      <c r="A13" s="24">
        <v>9</v>
      </c>
      <c r="B13" s="25">
        <f ca="1">sim!M36*100</f>
        <v>2.764043188570378</v>
      </c>
      <c r="D13" s="24">
        <v>-2.2000000000000002</v>
      </c>
      <c r="E13" s="24" cm="1">
        <f t="array" aca="1" ref="E13" ca="1">SUMPRODUCT(IF($B$5:$B$104&gt;D12,1,0),IF($B$5:$B$104&lt;=D13,1,0))</f>
        <v>0</v>
      </c>
    </row>
    <row r="14" spans="1:5">
      <c r="A14" s="24">
        <v>10</v>
      </c>
      <c r="B14" s="25">
        <f ca="1">sim!M37*100</f>
        <v>2.4630013779267852</v>
      </c>
      <c r="D14" s="24">
        <v>-2.1</v>
      </c>
      <c r="E14" s="24" cm="1">
        <f t="array" aca="1" ref="E14" ca="1">SUMPRODUCT(IF($B$5:$B$104&gt;D13,1,0),IF($B$5:$B$104&lt;=D14,1,0))</f>
        <v>0</v>
      </c>
    </row>
    <row r="15" spans="1:5">
      <c r="A15" s="24">
        <v>11</v>
      </c>
      <c r="B15" s="25">
        <f ca="1">sim!M38*100</f>
        <v>2.0018932608585618</v>
      </c>
      <c r="D15" s="24">
        <v>-2</v>
      </c>
      <c r="E15" s="24" cm="1">
        <f t="array" aca="1" ref="E15" ca="1">SUMPRODUCT(IF($B$5:$B$104&gt;D14,1,0),IF($B$5:$B$104&lt;=D15,1,0))</f>
        <v>0</v>
      </c>
    </row>
    <row r="16" spans="1:5">
      <c r="A16" s="24">
        <v>12</v>
      </c>
      <c r="B16" s="25">
        <f ca="1">sim!M39*100</f>
        <v>1.7753931767685118</v>
      </c>
      <c r="D16" s="24">
        <v>-1.9</v>
      </c>
      <c r="E16" s="24" cm="1">
        <f t="array" aca="1" ref="E16" ca="1">SUMPRODUCT(IF($B$5:$B$104&gt;D15,1,0),IF($B$5:$B$104&lt;=D16,1,0))</f>
        <v>0</v>
      </c>
    </row>
    <row r="17" spans="1:9">
      <c r="A17" s="24">
        <v>13</v>
      </c>
      <c r="B17" s="25">
        <f ca="1">sim!M40*100</f>
        <v>2.1800669954525267</v>
      </c>
      <c r="D17" s="24">
        <v>-1.8</v>
      </c>
      <c r="E17" s="24" cm="1">
        <f t="array" aca="1" ref="E17" ca="1">SUMPRODUCT(IF($B$5:$B$104&gt;D16,1,0),IF($B$5:$B$104&lt;=D17,1,0))</f>
        <v>0</v>
      </c>
    </row>
    <row r="18" spans="1:9">
      <c r="A18" s="24">
        <v>14</v>
      </c>
      <c r="B18" s="25">
        <f ca="1">sim!M41*100</f>
        <v>3.4348635188961785</v>
      </c>
      <c r="D18" s="24">
        <v>-1.7</v>
      </c>
      <c r="E18" s="24" cm="1">
        <f t="array" aca="1" ref="E18" ca="1">SUMPRODUCT(IF($B$5:$B$104&gt;D17,1,0),IF($B$5:$B$104&lt;=D18,1,0))</f>
        <v>0</v>
      </c>
    </row>
    <row r="19" spans="1:9">
      <c r="A19" s="24">
        <v>15</v>
      </c>
      <c r="B19" s="25">
        <f ca="1">sim!M42*100</f>
        <v>2.8724543181391722</v>
      </c>
      <c r="D19" s="24">
        <v>-1.6</v>
      </c>
      <c r="E19" s="24" cm="1">
        <f t="array" aca="1" ref="E19" ca="1">SUMPRODUCT(IF($B$5:$B$104&gt;D18,1,0),IF($B$5:$B$104&lt;=D19,1,0))</f>
        <v>0</v>
      </c>
    </row>
    <row r="20" spans="1:9">
      <c r="A20" s="24">
        <v>16</v>
      </c>
      <c r="B20" s="25">
        <f ca="1">sim!M43*100</f>
        <v>1.5479190339723059</v>
      </c>
      <c r="D20" s="24">
        <v>-1.5</v>
      </c>
      <c r="E20" s="24" cm="1">
        <f t="array" aca="1" ref="E20" ca="1">SUMPRODUCT(IF($B$5:$B$104&gt;D19,1,0),IF($B$5:$B$104&lt;=D20,1,0))</f>
        <v>0</v>
      </c>
    </row>
    <row r="21" spans="1:9">
      <c r="A21" s="24">
        <v>17</v>
      </c>
      <c r="B21" s="25">
        <f ca="1">sim!M44*100</f>
        <v>4.3300452662161932</v>
      </c>
      <c r="D21" s="24">
        <v>-1.4</v>
      </c>
      <c r="E21" s="24" cm="1">
        <f t="array" aca="1" ref="E21" ca="1">SUMPRODUCT(IF($B$5:$B$104&gt;D20,1,0),IF($B$5:$B$104&lt;=D21,1,0))</f>
        <v>0</v>
      </c>
    </row>
    <row r="22" spans="1:9">
      <c r="A22" s="24">
        <v>18</v>
      </c>
      <c r="B22" s="25">
        <f ca="1">sim!M45*100</f>
        <v>2.5264592235688199</v>
      </c>
      <c r="D22" s="24">
        <v>-1.3</v>
      </c>
      <c r="E22" s="24" cm="1">
        <f t="array" aca="1" ref="E22" ca="1">SUMPRODUCT(IF($B$5:$B$104&gt;D21,1,0),IF($B$5:$B$104&lt;=D22,1,0))</f>
        <v>0</v>
      </c>
    </row>
    <row r="23" spans="1:9">
      <c r="A23" s="24">
        <v>19</v>
      </c>
      <c r="B23" s="25">
        <f ca="1">sim!M46*100</f>
        <v>2.341137476047404</v>
      </c>
      <c r="D23" s="24">
        <v>-1.2</v>
      </c>
      <c r="E23" s="24" cm="1">
        <f t="array" aca="1" ref="E23" ca="1">SUMPRODUCT(IF($B$5:$B$104&gt;D22,1,0),IF($B$5:$B$104&lt;=D23,1,0))</f>
        <v>0</v>
      </c>
    </row>
    <row r="24" spans="1:9">
      <c r="A24" s="24">
        <v>20</v>
      </c>
      <c r="B24" s="25">
        <f ca="1">sim!M47*100</f>
        <v>1.2146891796584467</v>
      </c>
      <c r="D24" s="24">
        <v>-1.1000000000000001</v>
      </c>
      <c r="E24" s="24" cm="1">
        <f t="array" aca="1" ref="E24" ca="1">SUMPRODUCT(IF($B$5:$B$104&gt;D23,1,0),IF($B$5:$B$104&lt;=D24,1,0))</f>
        <v>0</v>
      </c>
    </row>
    <row r="25" spans="1:9">
      <c r="A25" s="24">
        <v>21</v>
      </c>
      <c r="B25" s="25">
        <f ca="1">sim!M48*100</f>
        <v>0.79163840435703892</v>
      </c>
      <c r="D25" s="24">
        <v>-1</v>
      </c>
      <c r="E25" s="24" cm="1">
        <f t="array" aca="1" ref="E25" ca="1">SUMPRODUCT(IF($B$5:$B$104&gt;D24,1,0),IF($B$5:$B$104&lt;=D25,1,0))</f>
        <v>0</v>
      </c>
    </row>
    <row r="26" spans="1:9">
      <c r="A26" s="24">
        <v>22</v>
      </c>
      <c r="B26" s="25">
        <f ca="1">sim!M49*100</f>
        <v>0.58865574377710139</v>
      </c>
      <c r="D26" s="24">
        <v>-0.9</v>
      </c>
      <c r="E26" s="24" cm="1">
        <f t="array" aca="1" ref="E26" ca="1">SUMPRODUCT(IF($B$5:$B$104&gt;D25,1,0),IF($B$5:$B$104&lt;=D26,1,0))</f>
        <v>0</v>
      </c>
    </row>
    <row r="27" spans="1:9">
      <c r="A27" s="24">
        <v>23</v>
      </c>
      <c r="B27" s="25">
        <f ca="1">sim!M50*100</f>
        <v>1.1930959930987759</v>
      </c>
      <c r="D27" s="24">
        <v>-0.8</v>
      </c>
      <c r="E27" s="24" cm="1">
        <f t="array" aca="1" ref="E27" ca="1">SUMPRODUCT(IF($B$5:$B$104&gt;D26,1,0),IF($B$5:$B$104&lt;=D27,1,0))</f>
        <v>0</v>
      </c>
    </row>
    <row r="28" spans="1:9">
      <c r="A28" s="24">
        <v>24</v>
      </c>
      <c r="B28" s="25">
        <f ca="1">sim!M51*100</f>
        <v>2.0501968372564243</v>
      </c>
      <c r="D28" s="24">
        <v>-0.7</v>
      </c>
      <c r="E28" s="24" cm="1">
        <f t="array" aca="1" ref="E28" ca="1">SUMPRODUCT(IF($B$5:$B$104&gt;D27,1,0),IF($B$5:$B$104&lt;=D28,1,0))</f>
        <v>0</v>
      </c>
    </row>
    <row r="29" spans="1:9">
      <c r="A29" s="24">
        <v>25</v>
      </c>
      <c r="B29" s="25">
        <f ca="1">sim!M52*100</f>
        <v>1.9981180425339335</v>
      </c>
      <c r="D29" s="24">
        <v>-0.6</v>
      </c>
      <c r="E29" s="24" cm="1">
        <f t="array" aca="1" ref="E29" ca="1">SUMPRODUCT(IF($B$5:$B$104&gt;D28,1,0),IF($B$5:$B$104&lt;=D29,1,0))</f>
        <v>0</v>
      </c>
    </row>
    <row r="30" spans="1:9">
      <c r="A30" s="24">
        <v>26</v>
      </c>
      <c r="B30" s="25">
        <f ca="1">sim!M53*100</f>
        <v>2.71938930780727</v>
      </c>
      <c r="D30" s="24">
        <v>-0.5</v>
      </c>
      <c r="E30" s="24" cm="1">
        <f t="array" aca="1" ref="E30" ca="1">SUMPRODUCT(IF($B$5:$B$104&gt;D29,1,0),IF($B$5:$B$104&lt;=D30,1,0))</f>
        <v>0</v>
      </c>
      <c r="I30" s="24" t="s">
        <v>16</v>
      </c>
    </row>
    <row r="31" spans="1:9">
      <c r="A31" s="24">
        <v>27</v>
      </c>
      <c r="B31" s="25">
        <f ca="1">sim!M54*100</f>
        <v>3.5904075011144703</v>
      </c>
      <c r="D31" s="24">
        <v>-0.4</v>
      </c>
      <c r="E31" s="24" cm="1">
        <f t="array" aca="1" ref="E31" ca="1">SUMPRODUCT(IF($B$5:$B$104&gt;D30,1,0),IF($B$5:$B$104&lt;=D31,1,0))</f>
        <v>0</v>
      </c>
    </row>
    <row r="32" spans="1:9">
      <c r="A32" s="24">
        <v>28</v>
      </c>
      <c r="B32" s="25">
        <f ca="1">sim!M55*100</f>
        <v>2.522090753953627</v>
      </c>
      <c r="D32" s="24">
        <v>-0.3</v>
      </c>
      <c r="E32" s="24" cm="1">
        <f t="array" aca="1" ref="E32" ca="1">SUMPRODUCT(IF($B$5:$B$104&gt;D31,1,0),IF($B$5:$B$104&lt;=D32,1,0))</f>
        <v>1</v>
      </c>
    </row>
    <row r="33" spans="1:5">
      <c r="A33" s="24">
        <v>29</v>
      </c>
      <c r="B33" s="25">
        <f ca="1">sim!M56*100</f>
        <v>2.3470946049329151</v>
      </c>
      <c r="D33" s="24">
        <v>-0.2</v>
      </c>
      <c r="E33" s="24" cm="1">
        <f t="array" aca="1" ref="E33" ca="1">SUMPRODUCT(IF($B$5:$B$104&gt;D32,1,0),IF($B$5:$B$104&lt;=D33,1,0))</f>
        <v>0</v>
      </c>
    </row>
    <row r="34" spans="1:5">
      <c r="A34" s="24">
        <v>30</v>
      </c>
      <c r="B34" s="25">
        <f ca="1">sim!M57*100</f>
        <v>1.4771463789234009</v>
      </c>
      <c r="D34" s="24">
        <v>-0.1</v>
      </c>
      <c r="E34" s="24" cm="1">
        <f t="array" aca="1" ref="E34" ca="1">SUMPRODUCT(IF($B$5:$B$104&gt;D33,1,0),IF($B$5:$B$104&lt;=D34,1,0))</f>
        <v>0</v>
      </c>
    </row>
    <row r="35" spans="1:5">
      <c r="A35" s="24">
        <v>31</v>
      </c>
      <c r="B35" s="25">
        <f ca="1">sim!M58*100</f>
        <v>1.0247679196936248</v>
      </c>
      <c r="D35" s="24">
        <v>0</v>
      </c>
      <c r="E35" s="24" cm="1">
        <f t="array" aca="1" ref="E35" ca="1">SUMPRODUCT(IF($B$5:$B$104&gt;D34,1,0),IF($B$5:$B$104&lt;=D35,1,0))</f>
        <v>0</v>
      </c>
    </row>
    <row r="36" spans="1:5">
      <c r="A36" s="24">
        <v>32</v>
      </c>
      <c r="B36" s="25">
        <f ca="1">sim!M59*100</f>
        <v>3.9977599949158451</v>
      </c>
      <c r="D36" s="24">
        <v>0.1</v>
      </c>
      <c r="E36" s="24" cm="1">
        <f t="array" aca="1" ref="E36" ca="1">SUMPRODUCT(IF($B$5:$B$104&gt;D35,1,0),IF($B$5:$B$104&lt;=D36,1,0))</f>
        <v>1</v>
      </c>
    </row>
    <row r="37" spans="1:5">
      <c r="A37" s="24">
        <v>33</v>
      </c>
      <c r="B37" s="25">
        <f ca="1">sim!M60*100</f>
        <v>2.2958470830833999</v>
      </c>
      <c r="D37" s="24">
        <v>0.2</v>
      </c>
      <c r="E37" s="24" cm="1">
        <f t="array" aca="1" ref="E37" ca="1">SUMPRODUCT(IF($B$5:$B$104&gt;D36,1,0),IF($B$5:$B$104&lt;=D37,1,0))</f>
        <v>1</v>
      </c>
    </row>
    <row r="38" spans="1:5">
      <c r="A38" s="24">
        <v>34</v>
      </c>
      <c r="B38" s="25">
        <f ca="1">sim!M61*100</f>
        <v>1.6655132428942552</v>
      </c>
      <c r="D38" s="24">
        <v>0.3</v>
      </c>
      <c r="E38" s="24" cm="1">
        <f t="array" aca="1" ref="E38" ca="1">SUMPRODUCT(IF($B$5:$B$104&gt;D37,1,0),IF($B$5:$B$104&lt;=D38,1,0))</f>
        <v>2</v>
      </c>
    </row>
    <row r="39" spans="1:5">
      <c r="A39" s="24">
        <v>35</v>
      </c>
      <c r="B39" s="25">
        <f ca="1">sim!M62*100</f>
        <v>3.2167238197891428</v>
      </c>
      <c r="D39" s="24">
        <v>0.4</v>
      </c>
      <c r="E39" s="24" cm="1">
        <f t="array" aca="1" ref="E39" ca="1">SUMPRODUCT(IF($B$5:$B$104&gt;D38,1,0),IF($B$5:$B$104&lt;=D39,1,0))</f>
        <v>1</v>
      </c>
    </row>
    <row r="40" spans="1:5">
      <c r="A40" s="24">
        <v>36</v>
      </c>
      <c r="B40" s="25">
        <f ca="1">sim!M63*100</f>
        <v>1.7986772978011496</v>
      </c>
      <c r="D40" s="24">
        <v>0.5</v>
      </c>
      <c r="E40" s="24" cm="1">
        <f t="array" aca="1" ref="E40" ca="1">SUMPRODUCT(IF($B$5:$B$104&gt;D39,1,0),IF($B$5:$B$104&lt;=D40,1,0))</f>
        <v>0</v>
      </c>
    </row>
    <row r="41" spans="1:5">
      <c r="A41" s="24">
        <v>37</v>
      </c>
      <c r="B41" s="25">
        <f ca="1">sim!M64*100</f>
        <v>2.8210237978916317</v>
      </c>
      <c r="D41" s="24">
        <v>0.6</v>
      </c>
      <c r="E41" s="24" cm="1">
        <f t="array" aca="1" ref="E41" ca="1">SUMPRODUCT(IF($B$5:$B$104&gt;D40,1,0),IF($B$5:$B$104&lt;=D41,1,0))</f>
        <v>1</v>
      </c>
    </row>
    <row r="42" spans="1:5">
      <c r="A42" s="24">
        <v>38</v>
      </c>
      <c r="B42" s="25">
        <f ca="1">sim!M65*100</f>
        <v>1.7537084079689915</v>
      </c>
      <c r="D42" s="24">
        <v>0.7</v>
      </c>
      <c r="E42" s="24" cm="1">
        <f t="array" aca="1" ref="E42" ca="1">SUMPRODUCT(IF($B$5:$B$104&gt;D41,1,0),IF($B$5:$B$104&lt;=D42,1,0))</f>
        <v>1</v>
      </c>
    </row>
    <row r="43" spans="1:5">
      <c r="A43" s="24">
        <v>39</v>
      </c>
      <c r="B43" s="25">
        <f ca="1">sim!M66*100</f>
        <v>0.13854897876292363</v>
      </c>
      <c r="D43" s="24">
        <v>0.8</v>
      </c>
      <c r="E43" s="24" cm="1">
        <f t="array" aca="1" ref="E43" ca="1">SUMPRODUCT(IF($B$5:$B$104&gt;D42,1,0),IF($B$5:$B$104&lt;=D43,1,0))</f>
        <v>2</v>
      </c>
    </row>
    <row r="44" spans="1:5">
      <c r="A44" s="24">
        <v>40</v>
      </c>
      <c r="B44" s="25">
        <f ca="1">sim!M67*100</f>
        <v>3.423935994891298</v>
      </c>
      <c r="D44" s="24">
        <v>0.9</v>
      </c>
      <c r="E44" s="24" cm="1">
        <f t="array" aca="1" ref="E44" ca="1">SUMPRODUCT(IF($B$5:$B$104&gt;D43,1,0),IF($B$5:$B$104&lt;=D44,1,0))</f>
        <v>0</v>
      </c>
    </row>
    <row r="45" spans="1:5">
      <c r="A45" s="24">
        <v>41</v>
      </c>
      <c r="B45" s="25">
        <f ca="1">sim!M68*100</f>
        <v>1.2928752146726716</v>
      </c>
      <c r="D45" s="24">
        <v>1</v>
      </c>
      <c r="E45" s="24" cm="1">
        <f t="array" aca="1" ref="E45" ca="1">SUMPRODUCT(IF($B$5:$B$104&gt;D44,1,0),IF($B$5:$B$104&lt;=D45,1,0))</f>
        <v>2</v>
      </c>
    </row>
    <row r="46" spans="1:5">
      <c r="A46" s="24">
        <v>42</v>
      </c>
      <c r="B46" s="25">
        <f ca="1">sim!M69*100</f>
        <v>1.9953150116735023</v>
      </c>
      <c r="D46" s="24">
        <v>1.1000000000000001</v>
      </c>
      <c r="E46" s="24" cm="1">
        <f t="array" aca="1" ref="E46" ca="1">SUMPRODUCT(IF($B$5:$B$104&gt;D45,1,0),IF($B$5:$B$104&lt;=D46,1,0))</f>
        <v>5</v>
      </c>
    </row>
    <row r="47" spans="1:5">
      <c r="A47" s="24">
        <v>43</v>
      </c>
      <c r="B47" s="25">
        <f ca="1">sim!M70*100</f>
        <v>3.519522167106238</v>
      </c>
      <c r="D47" s="24">
        <v>1.2</v>
      </c>
      <c r="E47" s="24" cm="1">
        <f t="array" aca="1" ref="E47" ca="1">SUMPRODUCT(IF($B$5:$B$104&gt;D46,1,0),IF($B$5:$B$104&lt;=D47,1,0))</f>
        <v>1</v>
      </c>
    </row>
    <row r="48" spans="1:5">
      <c r="A48" s="24">
        <v>44</v>
      </c>
      <c r="B48" s="25">
        <f ca="1">sim!M71*100</f>
        <v>3.4322880232383493</v>
      </c>
      <c r="D48" s="24">
        <v>1.3</v>
      </c>
      <c r="E48" s="24" cm="1">
        <f t="array" aca="1" ref="E48" ca="1">SUMPRODUCT(IF($B$5:$B$104&gt;D47,1,0),IF($B$5:$B$104&lt;=D48,1,0))</f>
        <v>5</v>
      </c>
    </row>
    <row r="49" spans="1:5">
      <c r="A49" s="24">
        <v>45</v>
      </c>
      <c r="B49" s="25">
        <f ca="1">sim!M72*100</f>
        <v>2.4056857606342295</v>
      </c>
      <c r="D49" s="24">
        <v>1.4</v>
      </c>
      <c r="E49" s="24" cm="1">
        <f t="array" aca="1" ref="E49" ca="1">SUMPRODUCT(IF($B$5:$B$104&gt;D48,1,0),IF($B$5:$B$104&lt;=D49,1,0))</f>
        <v>3</v>
      </c>
    </row>
    <row r="50" spans="1:5">
      <c r="A50" s="24">
        <v>46</v>
      </c>
      <c r="B50" s="25">
        <f ca="1">sim!M73*100</f>
        <v>1.3940064881826051</v>
      </c>
      <c r="D50" s="24">
        <v>1.5</v>
      </c>
      <c r="E50" s="24" cm="1">
        <f t="array" aca="1" ref="E50" ca="1">SUMPRODUCT(IF($B$5:$B$104&gt;D49,1,0),IF($B$5:$B$104&lt;=D50,1,0))</f>
        <v>4</v>
      </c>
    </row>
    <row r="51" spans="1:5">
      <c r="A51" s="24">
        <v>47</v>
      </c>
      <c r="B51" s="25">
        <f ca="1">sim!M74*100</f>
        <v>4.1117329689661748</v>
      </c>
      <c r="D51" s="24">
        <v>1.6</v>
      </c>
      <c r="E51" s="24" cm="1">
        <f t="array" aca="1" ref="E51" ca="1">SUMPRODUCT(IF($B$5:$B$104&gt;D50,1,0),IF($B$5:$B$104&lt;=D51,1,0))</f>
        <v>3</v>
      </c>
    </row>
    <row r="52" spans="1:5">
      <c r="A52" s="24">
        <v>48</v>
      </c>
      <c r="B52" s="25">
        <f ca="1">sim!M75*100</f>
        <v>2.7679630706797247</v>
      </c>
      <c r="D52" s="24">
        <v>1.7</v>
      </c>
      <c r="E52" s="24" cm="1">
        <f t="array" aca="1" ref="E52" ca="1">SUMPRODUCT(IF($B$5:$B$104&gt;D51,1,0),IF($B$5:$B$104&lt;=D52,1,0))</f>
        <v>3</v>
      </c>
    </row>
    <row r="53" spans="1:5">
      <c r="A53" s="24">
        <v>49</v>
      </c>
      <c r="B53" s="25">
        <f ca="1">sim!M76*100</f>
        <v>2.6463000164475448</v>
      </c>
      <c r="D53" s="24">
        <v>1.8</v>
      </c>
      <c r="E53" s="24" cm="1">
        <f t="array" aca="1" ref="E53" ca="1">SUMPRODUCT(IF($B$5:$B$104&gt;D52,1,0),IF($B$5:$B$104&lt;=D53,1,0))</f>
        <v>5</v>
      </c>
    </row>
    <row r="54" spans="1:5">
      <c r="A54" s="24">
        <v>50</v>
      </c>
      <c r="B54" s="25">
        <f ca="1">sim!M77*100</f>
        <v>2.7228470545226569</v>
      </c>
      <c r="D54" s="24">
        <v>1.9</v>
      </c>
      <c r="E54" s="24" cm="1">
        <f t="array" aca="1" ref="E54" ca="1">SUMPRODUCT(IF($B$5:$B$104&gt;D53,1,0),IF($B$5:$B$104&lt;=D54,1,0))</f>
        <v>1</v>
      </c>
    </row>
    <row r="55" spans="1:5">
      <c r="A55" s="24">
        <v>51</v>
      </c>
      <c r="B55" s="25">
        <f ca="1">sim!M78*100</f>
        <v>1.0573812258477266</v>
      </c>
      <c r="D55" s="24">
        <v>2</v>
      </c>
      <c r="E55" s="24" cm="1">
        <f t="array" aca="1" ref="E55" ca="1">SUMPRODUCT(IF($B$5:$B$104&gt;D54,1,0),IF($B$5:$B$104&lt;=D55,1,0))</f>
        <v>3</v>
      </c>
    </row>
    <row r="56" spans="1:5">
      <c r="A56" s="24">
        <v>52</v>
      </c>
      <c r="B56" s="25">
        <f ca="1">sim!M79*100</f>
        <v>1.2698494895612324</v>
      </c>
      <c r="D56" s="24">
        <v>2.1</v>
      </c>
      <c r="E56" s="24" cm="1">
        <f t="array" aca="1" ref="E56" ca="1">SUMPRODUCT(IF($B$5:$B$104&gt;D55,1,0),IF($B$5:$B$104&lt;=D56,1,0))</f>
        <v>5</v>
      </c>
    </row>
    <row r="57" spans="1:5">
      <c r="A57" s="24">
        <v>53</v>
      </c>
      <c r="B57" s="25">
        <f ca="1">sim!M80*100</f>
        <v>0.6571766514821149</v>
      </c>
      <c r="D57" s="24">
        <v>2.2000000000000002</v>
      </c>
      <c r="E57" s="24" cm="1">
        <f t="array" aca="1" ref="E57" ca="1">SUMPRODUCT(IF($B$5:$B$104&gt;D56,1,0),IF($B$5:$B$104&lt;=D57,1,0))</f>
        <v>5</v>
      </c>
    </row>
    <row r="58" spans="1:5">
      <c r="A58" s="24">
        <v>54</v>
      </c>
      <c r="B58" s="25">
        <f ca="1">sim!M81*100</f>
        <v>3.2693216476065294</v>
      </c>
      <c r="D58" s="24">
        <v>2.2999999999999998</v>
      </c>
      <c r="E58" s="24" cm="1">
        <f t="array" aca="1" ref="E58" ca="1">SUMPRODUCT(IF($B$5:$B$104&gt;D57,1,0),IF($B$5:$B$104&lt;=D58,1,0))</f>
        <v>3</v>
      </c>
    </row>
    <row r="59" spans="1:5">
      <c r="A59" s="24">
        <v>55</v>
      </c>
      <c r="B59" s="25">
        <f ca="1">sim!M82*100</f>
        <v>1.0915224381293367</v>
      </c>
      <c r="D59" s="24">
        <v>2.4</v>
      </c>
      <c r="E59" s="24" cm="1">
        <f t="array" aca="1" ref="E59" ca="1">SUMPRODUCT(IF($B$5:$B$104&gt;D58,1,0),IF($B$5:$B$104&lt;=D59,1,0))</f>
        <v>2</v>
      </c>
    </row>
    <row r="60" spans="1:5">
      <c r="A60" s="24">
        <v>56</v>
      </c>
      <c r="B60" s="25">
        <f ca="1">sim!M83*100</f>
        <v>1.3285711600402283</v>
      </c>
      <c r="D60" s="24">
        <v>2.5000000000000102</v>
      </c>
      <c r="E60" s="24" cm="1">
        <f t="array" aca="1" ref="E60" ca="1">SUMPRODUCT(IF($B$5:$B$104&gt;D59,1,0),IF($B$5:$B$104&lt;=D60,1,0))</f>
        <v>6</v>
      </c>
    </row>
    <row r="61" spans="1:5">
      <c r="A61" s="24">
        <v>57</v>
      </c>
      <c r="B61" s="25">
        <f ca="1">sim!M84*100</f>
        <v>1.5786026579745531</v>
      </c>
      <c r="D61" s="24">
        <v>2.6</v>
      </c>
      <c r="E61" s="24" cm="1">
        <f t="array" aca="1" ref="E61" ca="1">SUMPRODUCT(IF($B$5:$B$104&gt;D60,1,0),IF($B$5:$B$104&lt;=D61,1,0))</f>
        <v>5</v>
      </c>
    </row>
    <row r="62" spans="1:5">
      <c r="A62" s="24">
        <v>58</v>
      </c>
      <c r="B62" s="25">
        <f ca="1">sim!M85*100</f>
        <v>1.0213383292449925</v>
      </c>
      <c r="D62" s="24">
        <v>2.7</v>
      </c>
      <c r="E62" s="24" cm="1">
        <f t="array" aca="1" ref="E62" ca="1">SUMPRODUCT(IF($B$5:$B$104&gt;D61,1,0),IF($B$5:$B$104&lt;=D62,1,0))</f>
        <v>4</v>
      </c>
    </row>
    <row r="63" spans="1:5">
      <c r="A63" s="24">
        <v>59</v>
      </c>
      <c r="B63" s="25">
        <f ca="1">sim!M86*100</f>
        <v>3.4299433577450813</v>
      </c>
      <c r="D63" s="24">
        <v>2.80000000000001</v>
      </c>
      <c r="E63" s="24" cm="1">
        <f t="array" aca="1" ref="E63" ca="1">SUMPRODUCT(IF($B$5:$B$104&gt;D62,1,0),IF($B$5:$B$104&lt;=D63,1,0))</f>
        <v>5</v>
      </c>
    </row>
    <row r="64" spans="1:5">
      <c r="A64" s="24">
        <v>60</v>
      </c>
      <c r="B64" s="25">
        <f ca="1">sim!M87*100</f>
        <v>1.7699085568281072</v>
      </c>
      <c r="D64" s="24">
        <v>2.9000000000000101</v>
      </c>
      <c r="E64" s="24" cm="1">
        <f t="array" aca="1" ref="E64" ca="1">SUMPRODUCT(IF($B$5:$B$104&gt;D63,1,0),IF($B$5:$B$104&lt;=D64,1,0))</f>
        <v>3</v>
      </c>
    </row>
    <row r="65" spans="1:5">
      <c r="A65" s="24">
        <v>61</v>
      </c>
      <c r="B65" s="25">
        <f ca="1">sim!M88*100</f>
        <v>1.7984674056085275</v>
      </c>
      <c r="D65" s="24">
        <v>3.0000000000000102</v>
      </c>
      <c r="E65" s="24" cm="1">
        <f t="array" aca="1" ref="E65" ca="1">SUMPRODUCT(IF($B$5:$B$104&gt;D64,1,0),IF($B$5:$B$104&lt;=D65,1,0))</f>
        <v>1</v>
      </c>
    </row>
    <row r="66" spans="1:5">
      <c r="A66" s="24">
        <v>62</v>
      </c>
      <c r="B66" s="25">
        <f ca="1">sim!M89*100</f>
        <v>2.2104682066128518</v>
      </c>
      <c r="D66" s="24">
        <v>3.1</v>
      </c>
      <c r="E66" s="24" cm="1">
        <f t="array" aca="1" ref="E66" ca="1">SUMPRODUCT(IF($B$5:$B$104&gt;D65,1,0),IF($B$5:$B$104&lt;=D66,1,0))</f>
        <v>1</v>
      </c>
    </row>
    <row r="67" spans="1:5">
      <c r="A67" s="24">
        <v>63</v>
      </c>
      <c r="B67" s="25">
        <f ca="1">sim!M90*100</f>
        <v>0.27022312789157821</v>
      </c>
      <c r="D67" s="24">
        <v>3.2000000000000099</v>
      </c>
      <c r="E67" s="24" cm="1">
        <f t="array" aca="1" ref="E67" ca="1">SUMPRODUCT(IF($B$5:$B$104&gt;D66,1,0),IF($B$5:$B$104&lt;=D67,1,0))</f>
        <v>0</v>
      </c>
    </row>
    <row r="68" spans="1:5">
      <c r="A68" s="24">
        <v>64</v>
      </c>
      <c r="B68" s="25">
        <f ca="1">sim!M91*100</f>
        <v>1.8373316785368281</v>
      </c>
      <c r="D68" s="24">
        <v>3.30000000000001</v>
      </c>
      <c r="E68" s="24" cm="1">
        <f t="array" aca="1" ref="E68" ca="1">SUMPRODUCT(IF($B$5:$B$104&gt;D67,1,0),IF($B$5:$B$104&lt;=D68,1,0))</f>
        <v>5</v>
      </c>
    </row>
    <row r="69" spans="1:5">
      <c r="A69" s="24">
        <v>65</v>
      </c>
      <c r="B69" s="25">
        <f ca="1">sim!M92*100</f>
        <v>2.1822882150055114</v>
      </c>
      <c r="D69" s="24">
        <v>3.4000000000000101</v>
      </c>
      <c r="E69" s="24" cm="1">
        <f t="array" aca="1" ref="E69" ca="1">SUMPRODUCT(IF($B$5:$B$104&gt;D68,1,0),IF($B$5:$B$104&lt;=D69,1,0))</f>
        <v>0</v>
      </c>
    </row>
    <row r="70" spans="1:5">
      <c r="A70" s="24">
        <v>66</v>
      </c>
      <c r="B70" s="25">
        <f ca="1">sim!M93*100</f>
        <v>2.0407851040693861</v>
      </c>
      <c r="D70" s="24">
        <v>3.5000000000000102</v>
      </c>
      <c r="E70" s="24" cm="1">
        <f t="array" aca="1" ref="E70" ca="1">SUMPRODUCT(IF($B$5:$B$104&gt;D69,1,0),IF($B$5:$B$104&lt;=D70,1,0))</f>
        <v>4</v>
      </c>
    </row>
    <row r="71" spans="1:5">
      <c r="A71" s="24">
        <v>67</v>
      </c>
      <c r="B71" s="25">
        <f ca="1">sim!M94*100</f>
        <v>2.1722223005905548</v>
      </c>
      <c r="D71" s="24">
        <v>3.6000000000000099</v>
      </c>
      <c r="E71" s="24" cm="1">
        <f t="array" aca="1" ref="E71" ca="1">SUMPRODUCT(IF($B$5:$B$104&gt;D70,1,0),IF($B$5:$B$104&lt;=D71,1,0))</f>
        <v>2</v>
      </c>
    </row>
    <row r="72" spans="1:5">
      <c r="A72" s="24">
        <v>68</v>
      </c>
      <c r="B72" s="25">
        <f ca="1">sim!M95*100</f>
        <v>2.237343729007558</v>
      </c>
      <c r="D72" s="24">
        <v>3.7000000000000099</v>
      </c>
      <c r="E72" s="24" cm="1">
        <f t="array" aca="1" ref="E72" ca="1">SUMPRODUCT(IF($B$5:$B$104&gt;D71,1,0),IF($B$5:$B$104&lt;=D72,1,0))</f>
        <v>1</v>
      </c>
    </row>
    <row r="73" spans="1:5">
      <c r="A73" s="24">
        <v>69</v>
      </c>
      <c r="B73" s="25">
        <f ca="1">sim!M96*100</f>
        <v>3.2919968760430498</v>
      </c>
      <c r="D73" s="24">
        <v>3.80000000000001</v>
      </c>
      <c r="E73" s="24" cm="1">
        <f t="array" aca="1" ref="E73" ca="1">SUMPRODUCT(IF($B$5:$B$104&gt;D72,1,0),IF($B$5:$B$104&lt;=D73,1,0))</f>
        <v>0</v>
      </c>
    </row>
    <row r="74" spans="1:5">
      <c r="A74" s="24">
        <v>70</v>
      </c>
      <c r="B74" s="25">
        <f ca="1">sim!M97*100</f>
        <v>0.93486156490632022</v>
      </c>
      <c r="D74" s="24">
        <v>3.9000000000000101</v>
      </c>
      <c r="E74" s="24" cm="1">
        <f t="array" aca="1" ref="E74" ca="1">SUMPRODUCT(IF($B$5:$B$104&gt;D73,1,0),IF($B$5:$B$104&lt;=D74,1,0))</f>
        <v>0</v>
      </c>
    </row>
    <row r="75" spans="1:5">
      <c r="A75" s="24">
        <v>71</v>
      </c>
      <c r="B75" s="25">
        <f ca="1">sim!M98*100</f>
        <v>2.1677122870910068</v>
      </c>
      <c r="D75" s="24">
        <v>4.0000000000000098</v>
      </c>
      <c r="E75" s="24" cm="1">
        <f t="array" aca="1" ref="E75" ca="1">SUMPRODUCT(IF($B$5:$B$104&gt;D74,1,0),IF($B$5:$B$104&lt;=D75,1,0))</f>
        <v>1</v>
      </c>
    </row>
    <row r="76" spans="1:5">
      <c r="A76" s="24">
        <v>72</v>
      </c>
      <c r="B76" s="25">
        <f ca="1">sim!M99*100</f>
        <v>2.4817943264532802</v>
      </c>
      <c r="D76" s="24">
        <v>4.1000000000000103</v>
      </c>
      <c r="E76" s="24" cm="1">
        <f t="array" aca="1" ref="E76" ca="1">SUMPRODUCT(IF($B$5:$B$104&gt;D75,1,0),IF($B$5:$B$104&lt;=D76,1,0))</f>
        <v>0</v>
      </c>
    </row>
    <row r="77" spans="1:5">
      <c r="A77" s="24">
        <v>73</v>
      </c>
      <c r="B77" s="25">
        <f ca="1">sim!M100*100</f>
        <v>2.0435402960501845</v>
      </c>
      <c r="D77" s="24">
        <v>4.2000000000000099</v>
      </c>
      <c r="E77" s="24" cm="1">
        <f t="array" aca="1" ref="E77" ca="1">SUMPRODUCT(IF($B$5:$B$104&gt;D76,1,0),IF($B$5:$B$104&lt;=D77,1,0))</f>
        <v>1</v>
      </c>
    </row>
    <row r="78" spans="1:5">
      <c r="A78" s="24">
        <v>74</v>
      </c>
      <c r="B78" s="25">
        <f ca="1">sim!M101*100</f>
        <v>2.6818372304930675</v>
      </c>
      <c r="D78" s="24">
        <v>4.3000000000000096</v>
      </c>
      <c r="E78" s="24" cm="1">
        <f t="array" aca="1" ref="E78" ca="1">SUMPRODUCT(IF($B$5:$B$104&gt;D77,1,0),IF($B$5:$B$104&lt;=D78,1,0))</f>
        <v>0</v>
      </c>
    </row>
    <row r="79" spans="1:5">
      <c r="A79" s="24">
        <v>75</v>
      </c>
      <c r="B79" s="25">
        <f ca="1">sim!M102*100</f>
        <v>2.0180740855760169</v>
      </c>
      <c r="D79" s="24">
        <v>4.4000000000000101</v>
      </c>
      <c r="E79" s="24" cm="1">
        <f t="array" aca="1" ref="E79" ca="1">SUMPRODUCT(IF($B$5:$B$104&gt;D78,1,0),IF($B$5:$B$104&lt;=D79,1,0))</f>
        <v>1</v>
      </c>
    </row>
    <row r="80" spans="1:5">
      <c r="A80" s="24">
        <v>76</v>
      </c>
      <c r="B80" s="25">
        <f ca="1">sim!M103*100</f>
        <v>1.3321507697653396</v>
      </c>
      <c r="D80" s="24">
        <v>4.5000000000000098</v>
      </c>
      <c r="E80" s="24" cm="1">
        <f t="array" aca="1" ref="E80" ca="1">SUMPRODUCT(IF($B$5:$B$104&gt;D79,1,0),IF($B$5:$B$104&lt;=D80,1,0))</f>
        <v>0</v>
      </c>
    </row>
    <row r="81" spans="1:5">
      <c r="A81" s="24">
        <v>77</v>
      </c>
      <c r="B81" s="25">
        <f ca="1">sim!M104*100</f>
        <v>1.2894358682546481</v>
      </c>
      <c r="D81" s="24">
        <v>4.6000000000000103</v>
      </c>
      <c r="E81" s="24" cm="1">
        <f t="array" aca="1" ref="E81" ca="1">SUMPRODUCT(IF($B$5:$B$104&gt;D80,1,0),IF($B$5:$B$104&lt;=D81,1,0))</f>
        <v>0</v>
      </c>
    </row>
    <row r="82" spans="1:5">
      <c r="A82" s="24">
        <v>78</v>
      </c>
      <c r="B82" s="25">
        <f ca="1">sim!M105*100</f>
        <v>0.98189320884825071</v>
      </c>
      <c r="D82" s="24">
        <v>4.7000000000000099</v>
      </c>
      <c r="E82" s="24" cm="1">
        <f t="array" aca="1" ref="E82" ca="1">SUMPRODUCT(IF($B$5:$B$104&gt;D81,1,0),IF($B$5:$B$104&lt;=D82,1,0))</f>
        <v>0</v>
      </c>
    </row>
    <row r="83" spans="1:5">
      <c r="A83" s="24">
        <v>79</v>
      </c>
      <c r="B83" s="25">
        <f ca="1">sim!M106*100</f>
        <v>3.9436784513851436E-2</v>
      </c>
      <c r="D83" s="24">
        <v>4.8000000000000096</v>
      </c>
      <c r="E83" s="24" cm="1">
        <f t="array" aca="1" ref="E83" ca="1">SUMPRODUCT(IF($B$5:$B$104&gt;D82,1,0),IF($B$5:$B$104&lt;=D83,1,0))</f>
        <v>0</v>
      </c>
    </row>
    <row r="84" spans="1:5">
      <c r="A84" s="24">
        <v>80</v>
      </c>
      <c r="B84" s="25">
        <f ca="1">sim!M107*100</f>
        <v>2.6806109956828617</v>
      </c>
      <c r="D84" s="24">
        <v>4.9000000000000101</v>
      </c>
      <c r="E84" s="24" cm="1">
        <f t="array" aca="1" ref="E84" ca="1">SUMPRODUCT(IF($B$5:$B$104&gt;D83,1,0),IF($B$5:$B$104&lt;=D84,1,0))</f>
        <v>0</v>
      </c>
    </row>
    <row r="85" spans="1:5">
      <c r="A85" s="24">
        <v>81</v>
      </c>
      <c r="B85" s="25">
        <f ca="1">sim!M108*100</f>
        <v>1.6983631378402888</v>
      </c>
      <c r="D85" s="24">
        <v>5.0000000000000098</v>
      </c>
      <c r="E85" s="24" cm="1">
        <f t="array" aca="1" ref="E85" ca="1">SUMPRODUCT(IF($B$5:$B$104&gt;D84,1,0),IF($B$5:$B$104&lt;=D85,1,0))</f>
        <v>0</v>
      </c>
    </row>
    <row r="86" spans="1:5">
      <c r="A86" s="24">
        <v>82</v>
      </c>
      <c r="B86" s="25">
        <f ca="1">sim!M109*100</f>
        <v>1.2903312358590637</v>
      </c>
      <c r="D86" s="24">
        <v>100</v>
      </c>
      <c r="E86" s="24" cm="1">
        <f t="array" aca="1" ref="E86" ca="1">SUMPRODUCT(IF($B$5:$B$104&gt;D85,1,0),IF($B$5:$B$104&lt;=D86,1,0))</f>
        <v>0</v>
      </c>
    </row>
    <row r="87" spans="1:5">
      <c r="A87" s="24">
        <v>83</v>
      </c>
      <c r="B87" s="25">
        <f ca="1">sim!M110*100</f>
        <v>1.9397912309044554</v>
      </c>
    </row>
    <row r="88" spans="1:5">
      <c r="A88" s="24">
        <v>84</v>
      </c>
      <c r="B88" s="25">
        <f ca="1">sim!M111*100</f>
        <v>2.5132902625609015</v>
      </c>
    </row>
    <row r="89" spans="1:5">
      <c r="A89" s="24">
        <v>85</v>
      </c>
      <c r="B89" s="25">
        <f ca="1">sim!M112*100</f>
        <v>0.24504904881329642</v>
      </c>
    </row>
    <row r="90" spans="1:5">
      <c r="A90" s="24">
        <v>86</v>
      </c>
      <c r="B90" s="25">
        <f ca="1">sim!M113*100</f>
        <v>2.4969311005123909</v>
      </c>
    </row>
    <row r="91" spans="1:5">
      <c r="A91" s="24">
        <v>87</v>
      </c>
      <c r="B91" s="25">
        <f ca="1">sim!M114*100</f>
        <v>1.0784020011878661</v>
      </c>
    </row>
    <row r="92" spans="1:5">
      <c r="A92" s="24">
        <v>88</v>
      </c>
      <c r="B92" s="25">
        <f ca="1">sim!M115*100</f>
        <v>1.5747206494262846</v>
      </c>
    </row>
    <row r="93" spans="1:5">
      <c r="A93" s="24">
        <v>89</v>
      </c>
      <c r="B93" s="25">
        <f ca="1">sim!M116*100</f>
        <v>3.2759661391905386</v>
      </c>
    </row>
    <row r="94" spans="1:5">
      <c r="A94" s="24">
        <v>90</v>
      </c>
      <c r="B94" s="25">
        <f ca="1">sim!M117*100</f>
        <v>3.6047178468008809</v>
      </c>
    </row>
    <row r="95" spans="1:5">
      <c r="A95" s="24">
        <v>91</v>
      </c>
      <c r="B95" s="25">
        <f ca="1">sim!M118*100</f>
        <v>3.052180154149343</v>
      </c>
    </row>
    <row r="96" spans="1:5">
      <c r="A96" s="24">
        <v>92</v>
      </c>
      <c r="B96" s="25">
        <f ca="1">sim!M119*100</f>
        <v>2.7624497681347906</v>
      </c>
    </row>
    <row r="97" spans="1:2">
      <c r="A97" s="24">
        <v>93</v>
      </c>
      <c r="B97" s="25">
        <f ca="1">sim!M120*100</f>
        <v>1.4950743153633361</v>
      </c>
    </row>
    <row r="98" spans="1:2">
      <c r="A98" s="24">
        <v>94</v>
      </c>
      <c r="B98" s="25">
        <f ca="1">sim!M121*100</f>
        <v>1.6968578967808421</v>
      </c>
    </row>
    <row r="99" spans="1:2">
      <c r="A99" s="24">
        <v>95</v>
      </c>
      <c r="B99" s="25">
        <f ca="1">sim!M122*100</f>
        <v>-0.31784024964100072</v>
      </c>
    </row>
    <row r="100" spans="1:2">
      <c r="A100" s="24">
        <v>96</v>
      </c>
      <c r="B100" s="25">
        <f ca="1">sim!M123*100</f>
        <v>0.78570810005558733</v>
      </c>
    </row>
    <row r="101" spans="1:2">
      <c r="A101" s="24">
        <v>97</v>
      </c>
      <c r="B101" s="25">
        <f ca="1">sim!M124*100</f>
        <v>2.8382142190600526</v>
      </c>
    </row>
    <row r="102" spans="1:2">
      <c r="A102" s="24">
        <v>98</v>
      </c>
      <c r="B102" s="25">
        <f ca="1">sim!M125*100</f>
        <v>2.6318369208243153</v>
      </c>
    </row>
    <row r="103" spans="1:2">
      <c r="A103" s="24">
        <v>99</v>
      </c>
      <c r="B103" s="25">
        <f ca="1">sim!M126*100</f>
        <v>2.9907000104689363</v>
      </c>
    </row>
    <row r="104" spans="1:2">
      <c r="A104" s="24">
        <v>100</v>
      </c>
      <c r="B104" s="25">
        <f ca="1">sim!M127*100</f>
        <v>3.2540889572689218</v>
      </c>
    </row>
    <row r="105" spans="1:2">
      <c r="A105" s="24">
        <v>101</v>
      </c>
      <c r="B105" s="25"/>
    </row>
    <row r="106" spans="1:2">
      <c r="A106" s="24">
        <v>102</v>
      </c>
      <c r="B106" s="25"/>
    </row>
    <row r="107" spans="1:2">
      <c r="A107" s="24">
        <v>103</v>
      </c>
      <c r="B107" s="25"/>
    </row>
    <row r="108" spans="1:2">
      <c r="A108" s="24">
        <v>104</v>
      </c>
      <c r="B108" s="25"/>
    </row>
    <row r="109" spans="1:2">
      <c r="A109" s="24">
        <v>105</v>
      </c>
      <c r="B109" s="25"/>
    </row>
    <row r="110" spans="1:2">
      <c r="A110" s="24">
        <v>106</v>
      </c>
      <c r="B110" s="25"/>
    </row>
    <row r="111" spans="1:2">
      <c r="A111" s="24">
        <v>107</v>
      </c>
      <c r="B111" s="25"/>
    </row>
    <row r="112" spans="1:2">
      <c r="A112" s="24">
        <v>108</v>
      </c>
      <c r="B112" s="25"/>
    </row>
    <row r="113" spans="1:2">
      <c r="A113" s="24">
        <v>109</v>
      </c>
      <c r="B113" s="25"/>
    </row>
    <row r="114" spans="1:2">
      <c r="A114" s="24">
        <v>110</v>
      </c>
      <c r="B114" s="25"/>
    </row>
    <row r="115" spans="1:2">
      <c r="A115" s="24">
        <v>111</v>
      </c>
      <c r="B115" s="25"/>
    </row>
    <row r="116" spans="1:2">
      <c r="A116" s="24">
        <v>112</v>
      </c>
      <c r="B116" s="25"/>
    </row>
    <row r="117" spans="1:2">
      <c r="A117" s="24">
        <v>113</v>
      </c>
      <c r="B117" s="25"/>
    </row>
    <row r="118" spans="1:2">
      <c r="A118" s="24">
        <v>114</v>
      </c>
      <c r="B118" s="25"/>
    </row>
    <row r="119" spans="1:2">
      <c r="A119" s="24">
        <v>115</v>
      </c>
      <c r="B119" s="25"/>
    </row>
    <row r="120" spans="1:2">
      <c r="A120" s="24">
        <v>116</v>
      </c>
      <c r="B120" s="25"/>
    </row>
    <row r="121" spans="1:2">
      <c r="A121" s="24">
        <v>117</v>
      </c>
      <c r="B121" s="25"/>
    </row>
    <row r="122" spans="1:2">
      <c r="A122" s="24">
        <v>118</v>
      </c>
      <c r="B122" s="25"/>
    </row>
    <row r="123" spans="1:2">
      <c r="A123" s="24">
        <v>119</v>
      </c>
      <c r="B123" s="25"/>
    </row>
    <row r="124" spans="1:2">
      <c r="A124" s="24">
        <v>120</v>
      </c>
      <c r="B124" s="25"/>
    </row>
    <row r="125" spans="1:2">
      <c r="A125" s="24">
        <v>121</v>
      </c>
      <c r="B125" s="25"/>
    </row>
    <row r="126" spans="1:2">
      <c r="A126" s="24">
        <v>122</v>
      </c>
      <c r="B126" s="25"/>
    </row>
    <row r="127" spans="1:2">
      <c r="A127" s="24">
        <v>123</v>
      </c>
      <c r="B127" s="25"/>
    </row>
    <row r="128" spans="1:2">
      <c r="A128" s="24">
        <v>124</v>
      </c>
      <c r="B128" s="25"/>
    </row>
    <row r="129" spans="1:2">
      <c r="A129" s="24">
        <v>125</v>
      </c>
      <c r="B129" s="25"/>
    </row>
    <row r="130" spans="1:2">
      <c r="A130" s="24">
        <v>126</v>
      </c>
      <c r="B130" s="25"/>
    </row>
    <row r="131" spans="1:2">
      <c r="A131" s="24">
        <v>127</v>
      </c>
      <c r="B131" s="25"/>
    </row>
    <row r="132" spans="1:2">
      <c r="A132" s="24">
        <v>128</v>
      </c>
      <c r="B132" s="25"/>
    </row>
    <row r="133" spans="1:2">
      <c r="A133" s="24">
        <v>129</v>
      </c>
      <c r="B133" s="25"/>
    </row>
    <row r="134" spans="1:2">
      <c r="A134" s="24">
        <v>130</v>
      </c>
      <c r="B134" s="25"/>
    </row>
    <row r="135" spans="1:2">
      <c r="A135" s="24">
        <v>131</v>
      </c>
      <c r="B135" s="25"/>
    </row>
    <row r="136" spans="1:2">
      <c r="A136" s="24">
        <v>132</v>
      </c>
      <c r="B136" s="25"/>
    </row>
    <row r="137" spans="1:2">
      <c r="A137" s="24">
        <v>133</v>
      </c>
      <c r="B137" s="25"/>
    </row>
    <row r="138" spans="1:2">
      <c r="A138" s="24">
        <v>134</v>
      </c>
      <c r="B138" s="25"/>
    </row>
    <row r="139" spans="1:2">
      <c r="A139" s="24">
        <v>135</v>
      </c>
      <c r="B139" s="25"/>
    </row>
    <row r="140" spans="1:2">
      <c r="A140" s="24">
        <v>136</v>
      </c>
      <c r="B140" s="25"/>
    </row>
    <row r="141" spans="1:2">
      <c r="A141" s="24">
        <v>137</v>
      </c>
      <c r="B141" s="25"/>
    </row>
    <row r="142" spans="1:2">
      <c r="A142" s="24">
        <v>138</v>
      </c>
      <c r="B142" s="25"/>
    </row>
    <row r="143" spans="1:2">
      <c r="A143" s="24">
        <v>139</v>
      </c>
      <c r="B143" s="25"/>
    </row>
    <row r="144" spans="1:2">
      <c r="A144" s="24">
        <v>140</v>
      </c>
      <c r="B144" s="25"/>
    </row>
    <row r="145" spans="1:2">
      <c r="A145" s="24">
        <v>141</v>
      </c>
      <c r="B145" s="25"/>
    </row>
    <row r="146" spans="1:2">
      <c r="A146" s="24">
        <v>142</v>
      </c>
      <c r="B146" s="25"/>
    </row>
    <row r="147" spans="1:2">
      <c r="A147" s="24">
        <v>143</v>
      </c>
      <c r="B147" s="25"/>
    </row>
    <row r="148" spans="1:2">
      <c r="A148" s="24">
        <v>144</v>
      </c>
      <c r="B148" s="25"/>
    </row>
    <row r="149" spans="1:2">
      <c r="A149" s="24">
        <v>145</v>
      </c>
      <c r="B149" s="25"/>
    </row>
    <row r="150" spans="1:2">
      <c r="A150" s="24">
        <v>146</v>
      </c>
      <c r="B150" s="25"/>
    </row>
    <row r="151" spans="1:2">
      <c r="A151" s="24">
        <v>147</v>
      </c>
      <c r="B151" s="25"/>
    </row>
    <row r="152" spans="1:2">
      <c r="A152" s="24">
        <v>148</v>
      </c>
      <c r="B152" s="25"/>
    </row>
    <row r="153" spans="1:2">
      <c r="A153" s="24">
        <v>149</v>
      </c>
      <c r="B153" s="25"/>
    </row>
    <row r="154" spans="1:2">
      <c r="A154" s="24">
        <v>150</v>
      </c>
      <c r="B154" s="25"/>
    </row>
    <row r="155" spans="1:2">
      <c r="A155" s="24">
        <v>151</v>
      </c>
      <c r="B155" s="25"/>
    </row>
    <row r="156" spans="1:2">
      <c r="A156" s="24">
        <v>152</v>
      </c>
      <c r="B156" s="25"/>
    </row>
    <row r="157" spans="1:2">
      <c r="A157" s="24">
        <v>153</v>
      </c>
      <c r="B157" s="25"/>
    </row>
    <row r="158" spans="1:2">
      <c r="A158" s="24">
        <v>154</v>
      </c>
      <c r="B158" s="25"/>
    </row>
    <row r="159" spans="1:2">
      <c r="A159" s="24">
        <v>155</v>
      </c>
      <c r="B159" s="25"/>
    </row>
    <row r="160" spans="1:2">
      <c r="A160" s="24">
        <v>156</v>
      </c>
      <c r="B160" s="25"/>
    </row>
    <row r="161" spans="1:2">
      <c r="A161" s="24">
        <v>157</v>
      </c>
      <c r="B161" s="25"/>
    </row>
    <row r="162" spans="1:2">
      <c r="A162" s="24">
        <v>158</v>
      </c>
      <c r="B162" s="25"/>
    </row>
    <row r="163" spans="1:2">
      <c r="A163" s="24">
        <v>159</v>
      </c>
      <c r="B163" s="25"/>
    </row>
    <row r="164" spans="1:2">
      <c r="A164" s="24">
        <v>160</v>
      </c>
      <c r="B164" s="25"/>
    </row>
    <row r="165" spans="1:2">
      <c r="A165" s="24">
        <v>161</v>
      </c>
      <c r="B165" s="25"/>
    </row>
    <row r="166" spans="1:2">
      <c r="A166" s="24">
        <v>162</v>
      </c>
      <c r="B166" s="25"/>
    </row>
    <row r="167" spans="1:2">
      <c r="A167" s="24">
        <v>163</v>
      </c>
      <c r="B167" s="25"/>
    </row>
    <row r="168" spans="1:2">
      <c r="A168" s="24">
        <v>164</v>
      </c>
      <c r="B168" s="25"/>
    </row>
    <row r="169" spans="1:2">
      <c r="A169" s="24">
        <v>165</v>
      </c>
      <c r="B169" s="25"/>
    </row>
    <row r="170" spans="1:2">
      <c r="A170" s="24">
        <v>166</v>
      </c>
      <c r="B170" s="25"/>
    </row>
    <row r="171" spans="1:2">
      <c r="A171" s="24">
        <v>167</v>
      </c>
      <c r="B171" s="25"/>
    </row>
    <row r="172" spans="1:2">
      <c r="A172" s="24">
        <v>168</v>
      </c>
      <c r="B172" s="25"/>
    </row>
    <row r="173" spans="1:2">
      <c r="A173" s="24">
        <v>169</v>
      </c>
      <c r="B173" s="25"/>
    </row>
    <row r="174" spans="1:2">
      <c r="A174" s="24">
        <v>170</v>
      </c>
      <c r="B174" s="25"/>
    </row>
    <row r="175" spans="1:2">
      <c r="A175" s="24">
        <v>171</v>
      </c>
      <c r="B175" s="25"/>
    </row>
    <row r="176" spans="1:2">
      <c r="A176" s="24">
        <v>172</v>
      </c>
      <c r="B176" s="25"/>
    </row>
    <row r="177" spans="1:2">
      <c r="A177" s="24">
        <v>173</v>
      </c>
      <c r="B177" s="25"/>
    </row>
    <row r="178" spans="1:2">
      <c r="A178" s="24">
        <v>174</v>
      </c>
      <c r="B178" s="25"/>
    </row>
    <row r="179" spans="1:2">
      <c r="A179" s="24">
        <v>175</v>
      </c>
      <c r="B179" s="25"/>
    </row>
    <row r="180" spans="1:2">
      <c r="A180" s="24">
        <v>176</v>
      </c>
      <c r="B180" s="25"/>
    </row>
    <row r="181" spans="1:2">
      <c r="A181" s="24">
        <v>177</v>
      </c>
      <c r="B181" s="25"/>
    </row>
    <row r="182" spans="1:2">
      <c r="A182" s="24">
        <v>178</v>
      </c>
      <c r="B182" s="25"/>
    </row>
    <row r="183" spans="1:2">
      <c r="A183" s="24">
        <v>179</v>
      </c>
      <c r="B183" s="25"/>
    </row>
    <row r="184" spans="1:2">
      <c r="A184" s="24">
        <v>180</v>
      </c>
      <c r="B184" s="25"/>
    </row>
    <row r="185" spans="1:2">
      <c r="A185" s="24">
        <v>181</v>
      </c>
      <c r="B185" s="25"/>
    </row>
    <row r="186" spans="1:2">
      <c r="A186" s="24">
        <v>182</v>
      </c>
      <c r="B186" s="25"/>
    </row>
    <row r="187" spans="1:2">
      <c r="A187" s="24">
        <v>183</v>
      </c>
      <c r="B187" s="25"/>
    </row>
    <row r="188" spans="1:2">
      <c r="A188" s="24">
        <v>184</v>
      </c>
      <c r="B188" s="25"/>
    </row>
    <row r="189" spans="1:2">
      <c r="A189" s="24">
        <v>185</v>
      </c>
      <c r="B189" s="25"/>
    </row>
    <row r="190" spans="1:2">
      <c r="A190" s="24">
        <v>186</v>
      </c>
      <c r="B190" s="25"/>
    </row>
    <row r="191" spans="1:2">
      <c r="A191" s="24">
        <v>187</v>
      </c>
      <c r="B191" s="25"/>
    </row>
    <row r="192" spans="1:2">
      <c r="A192" s="24">
        <v>188</v>
      </c>
      <c r="B192" s="25"/>
    </row>
    <row r="193" spans="1:2">
      <c r="A193" s="24">
        <v>189</v>
      </c>
      <c r="B193" s="25"/>
    </row>
    <row r="194" spans="1:2">
      <c r="A194" s="24">
        <v>190</v>
      </c>
      <c r="B194" s="25"/>
    </row>
    <row r="195" spans="1:2">
      <c r="A195" s="24">
        <v>191</v>
      </c>
      <c r="B195" s="25"/>
    </row>
    <row r="196" spans="1:2">
      <c r="A196" s="24">
        <v>192</v>
      </c>
      <c r="B196" s="25"/>
    </row>
    <row r="197" spans="1:2">
      <c r="A197" s="24">
        <v>193</v>
      </c>
      <c r="B197" s="25"/>
    </row>
    <row r="198" spans="1:2">
      <c r="A198" s="24">
        <v>194</v>
      </c>
      <c r="B198" s="25"/>
    </row>
    <row r="199" spans="1:2">
      <c r="A199" s="24">
        <v>195</v>
      </c>
      <c r="B199" s="25"/>
    </row>
    <row r="200" spans="1:2">
      <c r="A200" s="24">
        <v>196</v>
      </c>
      <c r="B200" s="25"/>
    </row>
    <row r="201" spans="1:2">
      <c r="A201" s="24">
        <v>197</v>
      </c>
      <c r="B201" s="25"/>
    </row>
    <row r="202" spans="1:2">
      <c r="A202" s="24">
        <v>198</v>
      </c>
      <c r="B202" s="25"/>
    </row>
    <row r="203" spans="1:2">
      <c r="A203" s="24">
        <v>199</v>
      </c>
      <c r="B203" s="25"/>
    </row>
    <row r="204" spans="1:2">
      <c r="A204" s="24">
        <v>200</v>
      </c>
      <c r="B204" s="25"/>
    </row>
    <row r="205" spans="1:2">
      <c r="A205" s="24">
        <v>201</v>
      </c>
      <c r="B205" s="25"/>
    </row>
    <row r="206" spans="1:2">
      <c r="A206" s="24">
        <v>202</v>
      </c>
      <c r="B206" s="25"/>
    </row>
    <row r="207" spans="1:2">
      <c r="A207" s="24">
        <v>203</v>
      </c>
      <c r="B207" s="25"/>
    </row>
    <row r="208" spans="1:2">
      <c r="A208" s="24">
        <v>204</v>
      </c>
      <c r="B208" s="25"/>
    </row>
    <row r="209" spans="1:2">
      <c r="A209" s="24">
        <v>205</v>
      </c>
      <c r="B209" s="25"/>
    </row>
    <row r="210" spans="1:2">
      <c r="A210" s="24">
        <v>206</v>
      </c>
      <c r="B210" s="25"/>
    </row>
    <row r="211" spans="1:2">
      <c r="A211" s="24">
        <v>207</v>
      </c>
      <c r="B211" s="25"/>
    </row>
    <row r="212" spans="1:2">
      <c r="A212" s="24">
        <v>208</v>
      </c>
      <c r="B212" s="25"/>
    </row>
    <row r="213" spans="1:2">
      <c r="A213" s="24">
        <v>209</v>
      </c>
      <c r="B213" s="25"/>
    </row>
    <row r="214" spans="1:2">
      <c r="A214" s="24">
        <v>210</v>
      </c>
      <c r="B214" s="25"/>
    </row>
    <row r="215" spans="1:2">
      <c r="A215" s="24">
        <v>211</v>
      </c>
      <c r="B215" s="25"/>
    </row>
    <row r="216" spans="1:2">
      <c r="A216" s="24">
        <v>212</v>
      </c>
      <c r="B216" s="25"/>
    </row>
    <row r="217" spans="1:2">
      <c r="A217" s="24">
        <v>213</v>
      </c>
      <c r="B217" s="25"/>
    </row>
    <row r="218" spans="1:2">
      <c r="A218" s="24">
        <v>214</v>
      </c>
      <c r="B218" s="25"/>
    </row>
    <row r="219" spans="1:2">
      <c r="A219" s="24">
        <v>215</v>
      </c>
      <c r="B219" s="25"/>
    </row>
    <row r="220" spans="1:2">
      <c r="A220" s="24">
        <v>216</v>
      </c>
      <c r="B220" s="25"/>
    </row>
    <row r="221" spans="1:2">
      <c r="A221" s="24">
        <v>217</v>
      </c>
      <c r="B221" s="25"/>
    </row>
    <row r="222" spans="1:2">
      <c r="A222" s="24">
        <v>218</v>
      </c>
      <c r="B222" s="25"/>
    </row>
    <row r="223" spans="1:2">
      <c r="A223" s="24">
        <v>219</v>
      </c>
      <c r="B223" s="25"/>
    </row>
    <row r="224" spans="1:2">
      <c r="A224" s="24">
        <v>220</v>
      </c>
      <c r="B224" s="25"/>
    </row>
    <row r="225" spans="1:2">
      <c r="A225" s="24">
        <v>221</v>
      </c>
      <c r="B225" s="25"/>
    </row>
    <row r="226" spans="1:2">
      <c r="A226" s="24">
        <v>222</v>
      </c>
      <c r="B226" s="25"/>
    </row>
    <row r="227" spans="1:2">
      <c r="A227" s="24">
        <v>223</v>
      </c>
      <c r="B227" s="25"/>
    </row>
    <row r="228" spans="1:2">
      <c r="A228" s="24">
        <v>224</v>
      </c>
      <c r="B228" s="25"/>
    </row>
    <row r="229" spans="1:2">
      <c r="A229" s="24">
        <v>225</v>
      </c>
      <c r="B229" s="25"/>
    </row>
    <row r="230" spans="1:2">
      <c r="A230" s="24">
        <v>226</v>
      </c>
      <c r="B230" s="25"/>
    </row>
    <row r="231" spans="1:2">
      <c r="A231" s="24">
        <v>227</v>
      </c>
      <c r="B231" s="25"/>
    </row>
    <row r="232" spans="1:2">
      <c r="A232" s="24">
        <v>228</v>
      </c>
      <c r="B232" s="25"/>
    </row>
    <row r="233" spans="1:2">
      <c r="A233" s="24">
        <v>229</v>
      </c>
      <c r="B233" s="25"/>
    </row>
    <row r="234" spans="1:2">
      <c r="A234" s="24">
        <v>230</v>
      </c>
      <c r="B234" s="25"/>
    </row>
    <row r="235" spans="1:2">
      <c r="A235" s="24">
        <v>231</v>
      </c>
      <c r="B235" s="25"/>
    </row>
    <row r="236" spans="1:2">
      <c r="A236" s="24">
        <v>232</v>
      </c>
      <c r="B236" s="25"/>
    </row>
    <row r="237" spans="1:2">
      <c r="A237" s="24">
        <v>233</v>
      </c>
      <c r="B237" s="25"/>
    </row>
    <row r="238" spans="1:2">
      <c r="A238" s="24">
        <v>234</v>
      </c>
      <c r="B238" s="25"/>
    </row>
    <row r="239" spans="1:2">
      <c r="A239" s="24">
        <v>235</v>
      </c>
      <c r="B239" s="25"/>
    </row>
    <row r="240" spans="1:2">
      <c r="A240" s="24">
        <v>236</v>
      </c>
      <c r="B240" s="25"/>
    </row>
    <row r="241" spans="1:2">
      <c r="A241" s="24">
        <v>237</v>
      </c>
      <c r="B241" s="25"/>
    </row>
    <row r="242" spans="1:2">
      <c r="A242" s="24">
        <v>238</v>
      </c>
      <c r="B242" s="25"/>
    </row>
    <row r="243" spans="1:2">
      <c r="A243" s="24">
        <v>239</v>
      </c>
      <c r="B243" s="25"/>
    </row>
    <row r="244" spans="1:2">
      <c r="A244" s="24">
        <v>240</v>
      </c>
      <c r="B244" s="25"/>
    </row>
    <row r="245" spans="1:2">
      <c r="A245" s="24">
        <v>241</v>
      </c>
      <c r="B245" s="25"/>
    </row>
    <row r="246" spans="1:2">
      <c r="A246" s="24">
        <v>242</v>
      </c>
      <c r="B246" s="25"/>
    </row>
    <row r="247" spans="1:2">
      <c r="A247" s="24">
        <v>243</v>
      </c>
      <c r="B247" s="25"/>
    </row>
    <row r="248" spans="1:2">
      <c r="A248" s="24">
        <v>244</v>
      </c>
      <c r="B248" s="25"/>
    </row>
    <row r="249" spans="1:2">
      <c r="A249" s="24">
        <v>245</v>
      </c>
      <c r="B249" s="25"/>
    </row>
    <row r="250" spans="1:2">
      <c r="A250" s="24">
        <v>246</v>
      </c>
      <c r="B250" s="25"/>
    </row>
    <row r="251" spans="1:2">
      <c r="A251" s="24">
        <v>247</v>
      </c>
      <c r="B251" s="25"/>
    </row>
    <row r="252" spans="1:2">
      <c r="A252" s="24">
        <v>248</v>
      </c>
      <c r="B252" s="25"/>
    </row>
    <row r="253" spans="1:2">
      <c r="A253" s="24">
        <v>249</v>
      </c>
      <c r="B253" s="25"/>
    </row>
    <row r="254" spans="1:2">
      <c r="A254" s="24">
        <v>250</v>
      </c>
      <c r="B254" s="25"/>
    </row>
    <row r="255" spans="1:2">
      <c r="A255" s="24">
        <v>251</v>
      </c>
      <c r="B255" s="25"/>
    </row>
    <row r="256" spans="1:2">
      <c r="A256" s="24">
        <v>252</v>
      </c>
      <c r="B256" s="25"/>
    </row>
    <row r="257" spans="1:2">
      <c r="A257" s="24">
        <v>253</v>
      </c>
      <c r="B257" s="25"/>
    </row>
    <row r="258" spans="1:2">
      <c r="A258" s="24">
        <v>254</v>
      </c>
      <c r="B258" s="25"/>
    </row>
    <row r="259" spans="1:2">
      <c r="A259" s="24">
        <v>255</v>
      </c>
      <c r="B259" s="25"/>
    </row>
    <row r="260" spans="1:2">
      <c r="A260" s="24">
        <v>256</v>
      </c>
      <c r="B260" s="25"/>
    </row>
    <row r="261" spans="1:2">
      <c r="A261" s="24">
        <v>257</v>
      </c>
      <c r="B261" s="25"/>
    </row>
    <row r="262" spans="1:2">
      <c r="A262" s="24">
        <v>258</v>
      </c>
      <c r="B262" s="25"/>
    </row>
    <row r="263" spans="1:2">
      <c r="A263" s="24">
        <v>259</v>
      </c>
      <c r="B263" s="25"/>
    </row>
    <row r="264" spans="1:2">
      <c r="A264" s="24">
        <v>260</v>
      </c>
      <c r="B264" s="25"/>
    </row>
    <row r="265" spans="1:2">
      <c r="A265" s="24">
        <v>261</v>
      </c>
      <c r="B265" s="25"/>
    </row>
    <row r="266" spans="1:2">
      <c r="A266" s="24">
        <v>262</v>
      </c>
      <c r="B266" s="25"/>
    </row>
    <row r="267" spans="1:2">
      <c r="A267" s="24">
        <v>263</v>
      </c>
      <c r="B267" s="25"/>
    </row>
    <row r="268" spans="1:2">
      <c r="A268" s="24">
        <v>264</v>
      </c>
      <c r="B268" s="25"/>
    </row>
    <row r="269" spans="1:2">
      <c r="A269" s="24">
        <v>265</v>
      </c>
      <c r="B269" s="25"/>
    </row>
    <row r="270" spans="1:2">
      <c r="A270" s="24">
        <v>266</v>
      </c>
      <c r="B270" s="25"/>
    </row>
    <row r="271" spans="1:2">
      <c r="A271" s="24">
        <v>267</v>
      </c>
      <c r="B271" s="25"/>
    </row>
    <row r="272" spans="1:2">
      <c r="A272" s="24">
        <v>268</v>
      </c>
      <c r="B272" s="25"/>
    </row>
    <row r="273" spans="1:2">
      <c r="A273" s="24">
        <v>269</v>
      </c>
      <c r="B273" s="25"/>
    </row>
    <row r="274" spans="1:2">
      <c r="A274" s="24">
        <v>270</v>
      </c>
      <c r="B274" s="25"/>
    </row>
    <row r="275" spans="1:2">
      <c r="A275" s="24">
        <v>271</v>
      </c>
      <c r="B275" s="25"/>
    </row>
    <row r="276" spans="1:2">
      <c r="A276" s="24">
        <v>272</v>
      </c>
      <c r="B276" s="25"/>
    </row>
    <row r="277" spans="1:2">
      <c r="A277" s="24">
        <v>273</v>
      </c>
      <c r="B277" s="25"/>
    </row>
    <row r="278" spans="1:2">
      <c r="A278" s="24">
        <v>274</v>
      </c>
      <c r="B278" s="25"/>
    </row>
    <row r="279" spans="1:2">
      <c r="A279" s="24">
        <v>275</v>
      </c>
      <c r="B279" s="25"/>
    </row>
    <row r="280" spans="1:2">
      <c r="A280" s="24">
        <v>276</v>
      </c>
      <c r="B280" s="25"/>
    </row>
    <row r="281" spans="1:2">
      <c r="A281" s="24">
        <v>277</v>
      </c>
      <c r="B281" s="25"/>
    </row>
    <row r="282" spans="1:2">
      <c r="A282" s="24">
        <v>278</v>
      </c>
      <c r="B282" s="25"/>
    </row>
    <row r="283" spans="1:2">
      <c r="A283" s="24">
        <v>279</v>
      </c>
      <c r="B283" s="25"/>
    </row>
    <row r="284" spans="1:2">
      <c r="A284" s="24">
        <v>280</v>
      </c>
      <c r="B284" s="25"/>
    </row>
    <row r="285" spans="1:2">
      <c r="A285" s="24">
        <v>281</v>
      </c>
      <c r="B285" s="25"/>
    </row>
    <row r="286" spans="1:2">
      <c r="A286" s="24">
        <v>282</v>
      </c>
      <c r="B286" s="25"/>
    </row>
    <row r="287" spans="1:2">
      <c r="A287" s="24">
        <v>283</v>
      </c>
      <c r="B287" s="25"/>
    </row>
    <row r="288" spans="1:2">
      <c r="A288" s="24">
        <v>284</v>
      </c>
      <c r="B288" s="25"/>
    </row>
    <row r="289" spans="1:2">
      <c r="A289" s="24">
        <v>285</v>
      </c>
      <c r="B289" s="25"/>
    </row>
    <row r="290" spans="1:2">
      <c r="A290" s="24">
        <v>286</v>
      </c>
      <c r="B290" s="25"/>
    </row>
    <row r="291" spans="1:2">
      <c r="A291" s="24">
        <v>287</v>
      </c>
      <c r="B291" s="25"/>
    </row>
    <row r="292" spans="1:2">
      <c r="A292" s="24">
        <v>288</v>
      </c>
      <c r="B292" s="25"/>
    </row>
    <row r="293" spans="1:2">
      <c r="A293" s="24">
        <v>289</v>
      </c>
      <c r="B293" s="25"/>
    </row>
    <row r="294" spans="1:2">
      <c r="A294" s="24">
        <v>290</v>
      </c>
      <c r="B294" s="25"/>
    </row>
    <row r="295" spans="1:2">
      <c r="A295" s="24">
        <v>291</v>
      </c>
      <c r="B295" s="25"/>
    </row>
    <row r="296" spans="1:2">
      <c r="A296" s="24">
        <v>292</v>
      </c>
      <c r="B296" s="25"/>
    </row>
    <row r="297" spans="1:2">
      <c r="A297" s="24">
        <v>293</v>
      </c>
      <c r="B297" s="25"/>
    </row>
    <row r="298" spans="1:2">
      <c r="A298" s="24">
        <v>294</v>
      </c>
      <c r="B298" s="25"/>
    </row>
    <row r="299" spans="1:2">
      <c r="A299" s="24">
        <v>295</v>
      </c>
      <c r="B299" s="25"/>
    </row>
    <row r="300" spans="1:2">
      <c r="A300" s="24">
        <v>296</v>
      </c>
      <c r="B300" s="25"/>
    </row>
    <row r="301" spans="1:2">
      <c r="A301" s="24">
        <v>297</v>
      </c>
      <c r="B301" s="25"/>
    </row>
    <row r="302" spans="1:2">
      <c r="A302" s="24">
        <v>298</v>
      </c>
      <c r="B302" s="25"/>
    </row>
    <row r="303" spans="1:2">
      <c r="A303" s="24">
        <v>299</v>
      </c>
      <c r="B303" s="25"/>
    </row>
    <row r="304" spans="1:2">
      <c r="A304" s="24">
        <v>300</v>
      </c>
      <c r="B304" s="25"/>
    </row>
    <row r="305" spans="1:2">
      <c r="A305" s="24">
        <v>301</v>
      </c>
      <c r="B305" s="25"/>
    </row>
    <row r="306" spans="1:2">
      <c r="A306" s="24">
        <v>302</v>
      </c>
      <c r="B306" s="25"/>
    </row>
    <row r="307" spans="1:2">
      <c r="A307" s="24">
        <v>303</v>
      </c>
      <c r="B307" s="25"/>
    </row>
    <row r="308" spans="1:2">
      <c r="A308" s="24">
        <v>304</v>
      </c>
      <c r="B308" s="25"/>
    </row>
    <row r="309" spans="1:2">
      <c r="A309" s="24">
        <v>305</v>
      </c>
      <c r="B309" s="25"/>
    </row>
    <row r="310" spans="1:2">
      <c r="A310" s="24">
        <v>306</v>
      </c>
      <c r="B310" s="25"/>
    </row>
    <row r="311" spans="1:2">
      <c r="A311" s="24">
        <v>307</v>
      </c>
      <c r="B311" s="25"/>
    </row>
    <row r="312" spans="1:2">
      <c r="A312" s="24">
        <v>308</v>
      </c>
      <c r="B312" s="25"/>
    </row>
    <row r="313" spans="1:2">
      <c r="A313" s="24">
        <v>309</v>
      </c>
      <c r="B313" s="25"/>
    </row>
    <row r="314" spans="1:2">
      <c r="A314" s="24">
        <v>310</v>
      </c>
      <c r="B314" s="25"/>
    </row>
    <row r="315" spans="1:2">
      <c r="A315" s="24">
        <v>311</v>
      </c>
      <c r="B315" s="25"/>
    </row>
    <row r="316" spans="1:2">
      <c r="A316" s="24">
        <v>312</v>
      </c>
      <c r="B316" s="25"/>
    </row>
    <row r="317" spans="1:2">
      <c r="A317" s="24">
        <v>313</v>
      </c>
      <c r="B317" s="25"/>
    </row>
    <row r="318" spans="1:2">
      <c r="A318" s="24">
        <v>314</v>
      </c>
      <c r="B318" s="25"/>
    </row>
    <row r="319" spans="1:2">
      <c r="A319" s="24">
        <v>315</v>
      </c>
      <c r="B319" s="25"/>
    </row>
    <row r="320" spans="1:2">
      <c r="A320" s="24">
        <v>316</v>
      </c>
      <c r="B320" s="25"/>
    </row>
    <row r="321" spans="1:2">
      <c r="A321" s="24">
        <v>317</v>
      </c>
      <c r="B321" s="25"/>
    </row>
    <row r="322" spans="1:2">
      <c r="A322" s="24">
        <v>318</v>
      </c>
      <c r="B322" s="25"/>
    </row>
    <row r="323" spans="1:2">
      <c r="A323" s="24">
        <v>319</v>
      </c>
      <c r="B323" s="25"/>
    </row>
    <row r="324" spans="1:2">
      <c r="A324" s="24">
        <v>320</v>
      </c>
      <c r="B324" s="25"/>
    </row>
    <row r="325" spans="1:2">
      <c r="A325" s="24">
        <v>321</v>
      </c>
      <c r="B325" s="25"/>
    </row>
    <row r="326" spans="1:2">
      <c r="A326" s="24">
        <v>322</v>
      </c>
      <c r="B326" s="25"/>
    </row>
    <row r="327" spans="1:2">
      <c r="A327" s="24">
        <v>323</v>
      </c>
      <c r="B327" s="25"/>
    </row>
    <row r="328" spans="1:2">
      <c r="A328" s="24">
        <v>324</v>
      </c>
      <c r="B328" s="25"/>
    </row>
    <row r="329" spans="1:2">
      <c r="A329" s="24">
        <v>325</v>
      </c>
      <c r="B329" s="25"/>
    </row>
    <row r="330" spans="1:2">
      <c r="A330" s="24">
        <v>326</v>
      </c>
      <c r="B330" s="25"/>
    </row>
    <row r="331" spans="1:2">
      <c r="A331" s="24">
        <v>327</v>
      </c>
      <c r="B331" s="25"/>
    </row>
    <row r="332" spans="1:2">
      <c r="A332" s="24">
        <v>328</v>
      </c>
      <c r="B332" s="25"/>
    </row>
    <row r="333" spans="1:2">
      <c r="A333" s="24">
        <v>329</v>
      </c>
      <c r="B333" s="25"/>
    </row>
    <row r="334" spans="1:2">
      <c r="A334" s="24">
        <v>330</v>
      </c>
      <c r="B334" s="25"/>
    </row>
    <row r="335" spans="1:2">
      <c r="A335" s="24">
        <v>331</v>
      </c>
      <c r="B335" s="25"/>
    </row>
    <row r="336" spans="1:2">
      <c r="A336" s="24">
        <v>332</v>
      </c>
      <c r="B336" s="25"/>
    </row>
    <row r="337" spans="1:2">
      <c r="A337" s="24">
        <v>333</v>
      </c>
      <c r="B337" s="25"/>
    </row>
    <row r="338" spans="1:2">
      <c r="A338" s="24">
        <v>334</v>
      </c>
      <c r="B338" s="25"/>
    </row>
    <row r="339" spans="1:2">
      <c r="A339" s="24">
        <v>335</v>
      </c>
      <c r="B339" s="25"/>
    </row>
    <row r="340" spans="1:2">
      <c r="A340" s="24">
        <v>336</v>
      </c>
      <c r="B340" s="25"/>
    </row>
    <row r="341" spans="1:2">
      <c r="A341" s="24">
        <v>337</v>
      </c>
      <c r="B341" s="25"/>
    </row>
    <row r="342" spans="1:2">
      <c r="A342" s="24">
        <v>338</v>
      </c>
      <c r="B342" s="25"/>
    </row>
    <row r="343" spans="1:2">
      <c r="A343" s="24">
        <v>339</v>
      </c>
      <c r="B343" s="25"/>
    </row>
    <row r="344" spans="1:2">
      <c r="A344" s="24">
        <v>340</v>
      </c>
      <c r="B344" s="25"/>
    </row>
    <row r="345" spans="1:2">
      <c r="A345" s="24">
        <v>341</v>
      </c>
      <c r="B345" s="25"/>
    </row>
    <row r="346" spans="1:2">
      <c r="A346" s="24">
        <v>342</v>
      </c>
      <c r="B346" s="25"/>
    </row>
    <row r="347" spans="1:2">
      <c r="A347" s="24">
        <v>343</v>
      </c>
      <c r="B347" s="25"/>
    </row>
    <row r="348" spans="1:2">
      <c r="A348" s="24">
        <v>344</v>
      </c>
      <c r="B348" s="25"/>
    </row>
    <row r="349" spans="1:2">
      <c r="A349" s="24">
        <v>345</v>
      </c>
      <c r="B349" s="25"/>
    </row>
    <row r="350" spans="1:2">
      <c r="A350" s="24">
        <v>346</v>
      </c>
      <c r="B350" s="25"/>
    </row>
    <row r="351" spans="1:2">
      <c r="A351" s="24">
        <v>347</v>
      </c>
      <c r="B351" s="25"/>
    </row>
    <row r="352" spans="1:2">
      <c r="A352" s="24">
        <v>348</v>
      </c>
      <c r="B352" s="25"/>
    </row>
    <row r="353" spans="1:2">
      <c r="A353" s="24">
        <v>349</v>
      </c>
      <c r="B353" s="25"/>
    </row>
    <row r="354" spans="1:2">
      <c r="A354" s="24">
        <v>350</v>
      </c>
      <c r="B354" s="25"/>
    </row>
    <row r="355" spans="1:2">
      <c r="A355" s="24">
        <v>351</v>
      </c>
      <c r="B355" s="25"/>
    </row>
    <row r="356" spans="1:2">
      <c r="A356" s="24">
        <v>352</v>
      </c>
      <c r="B356" s="25"/>
    </row>
    <row r="357" spans="1:2">
      <c r="A357" s="24">
        <v>353</v>
      </c>
      <c r="B357" s="25"/>
    </row>
    <row r="358" spans="1:2">
      <c r="A358" s="24">
        <v>354</v>
      </c>
      <c r="B358" s="25"/>
    </row>
    <row r="359" spans="1:2">
      <c r="A359" s="24">
        <v>355</v>
      </c>
      <c r="B359" s="25"/>
    </row>
    <row r="360" spans="1:2">
      <c r="A360" s="24">
        <v>356</v>
      </c>
      <c r="B360" s="25"/>
    </row>
    <row r="361" spans="1:2">
      <c r="A361" s="24">
        <v>357</v>
      </c>
      <c r="B361" s="25"/>
    </row>
    <row r="362" spans="1:2">
      <c r="A362" s="24">
        <v>358</v>
      </c>
      <c r="B362" s="25"/>
    </row>
    <row r="363" spans="1:2">
      <c r="A363" s="24">
        <v>359</v>
      </c>
      <c r="B363" s="25"/>
    </row>
    <row r="364" spans="1:2">
      <c r="A364" s="24">
        <v>360</v>
      </c>
      <c r="B364" s="25"/>
    </row>
    <row r="365" spans="1:2">
      <c r="A365" s="24">
        <v>361</v>
      </c>
      <c r="B365" s="25"/>
    </row>
    <row r="366" spans="1:2">
      <c r="A366" s="24">
        <v>362</v>
      </c>
      <c r="B366" s="25"/>
    </row>
    <row r="367" spans="1:2">
      <c r="A367" s="24">
        <v>363</v>
      </c>
      <c r="B367" s="25"/>
    </row>
    <row r="368" spans="1:2">
      <c r="A368" s="24">
        <v>364</v>
      </c>
      <c r="B368" s="25"/>
    </row>
    <row r="369" spans="1:2">
      <c r="A369" s="24">
        <v>365</v>
      </c>
      <c r="B369" s="25"/>
    </row>
    <row r="370" spans="1:2">
      <c r="A370" s="24">
        <v>366</v>
      </c>
      <c r="B370" s="25"/>
    </row>
    <row r="371" spans="1:2">
      <c r="A371" s="24">
        <v>367</v>
      </c>
      <c r="B371" s="25"/>
    </row>
    <row r="372" spans="1:2">
      <c r="A372" s="24">
        <v>368</v>
      </c>
      <c r="B372" s="25"/>
    </row>
    <row r="373" spans="1:2">
      <c r="A373" s="24">
        <v>369</v>
      </c>
      <c r="B373" s="25"/>
    </row>
    <row r="374" spans="1:2">
      <c r="A374" s="24">
        <v>370</v>
      </c>
      <c r="B374" s="25"/>
    </row>
    <row r="375" spans="1:2">
      <c r="A375" s="24">
        <v>371</v>
      </c>
      <c r="B375" s="25"/>
    </row>
    <row r="376" spans="1:2">
      <c r="A376" s="24">
        <v>372</v>
      </c>
      <c r="B376" s="25"/>
    </row>
    <row r="377" spans="1:2">
      <c r="A377" s="24">
        <v>373</v>
      </c>
      <c r="B377" s="25"/>
    </row>
    <row r="378" spans="1:2">
      <c r="A378" s="24">
        <v>374</v>
      </c>
      <c r="B378" s="25"/>
    </row>
    <row r="379" spans="1:2">
      <c r="A379" s="24">
        <v>375</v>
      </c>
      <c r="B379" s="25"/>
    </row>
    <row r="380" spans="1:2">
      <c r="A380" s="24">
        <v>376</v>
      </c>
      <c r="B380" s="25"/>
    </row>
    <row r="381" spans="1:2">
      <c r="A381" s="24">
        <v>377</v>
      </c>
      <c r="B381" s="25"/>
    </row>
    <row r="382" spans="1:2">
      <c r="A382" s="24">
        <v>378</v>
      </c>
      <c r="B382" s="25"/>
    </row>
    <row r="383" spans="1:2">
      <c r="A383" s="24">
        <v>379</v>
      </c>
      <c r="B383" s="25"/>
    </row>
    <row r="384" spans="1:2">
      <c r="A384" s="24">
        <v>380</v>
      </c>
      <c r="B384" s="25"/>
    </row>
    <row r="385" spans="1:2">
      <c r="A385" s="24">
        <v>381</v>
      </c>
      <c r="B385" s="25"/>
    </row>
    <row r="386" spans="1:2">
      <c r="A386" s="24">
        <v>382</v>
      </c>
      <c r="B386" s="25"/>
    </row>
    <row r="387" spans="1:2">
      <c r="A387" s="24">
        <v>383</v>
      </c>
      <c r="B387" s="25"/>
    </row>
    <row r="388" spans="1:2">
      <c r="A388" s="24">
        <v>384</v>
      </c>
      <c r="B388" s="25"/>
    </row>
    <row r="389" spans="1:2">
      <c r="A389" s="24">
        <v>385</v>
      </c>
      <c r="B389" s="25"/>
    </row>
    <row r="390" spans="1:2">
      <c r="A390" s="24">
        <v>386</v>
      </c>
      <c r="B390" s="25"/>
    </row>
    <row r="391" spans="1:2">
      <c r="A391" s="24">
        <v>387</v>
      </c>
      <c r="B391" s="25"/>
    </row>
    <row r="392" spans="1:2">
      <c r="A392" s="24">
        <v>388</v>
      </c>
      <c r="B392" s="25"/>
    </row>
    <row r="393" spans="1:2">
      <c r="A393" s="24">
        <v>389</v>
      </c>
      <c r="B393" s="25"/>
    </row>
    <row r="394" spans="1:2">
      <c r="A394" s="24">
        <v>390</v>
      </c>
      <c r="B394" s="25"/>
    </row>
    <row r="395" spans="1:2">
      <c r="A395" s="24">
        <v>391</v>
      </c>
      <c r="B395" s="25"/>
    </row>
    <row r="396" spans="1:2">
      <c r="A396" s="24">
        <v>392</v>
      </c>
      <c r="B396" s="25"/>
    </row>
    <row r="397" spans="1:2">
      <c r="A397" s="24">
        <v>393</v>
      </c>
      <c r="B397" s="25"/>
    </row>
    <row r="398" spans="1:2">
      <c r="A398" s="24">
        <v>394</v>
      </c>
      <c r="B398" s="25"/>
    </row>
    <row r="399" spans="1:2">
      <c r="A399" s="24">
        <v>395</v>
      </c>
      <c r="B399" s="25"/>
    </row>
    <row r="400" spans="1:2">
      <c r="A400" s="24">
        <v>396</v>
      </c>
      <c r="B400" s="25"/>
    </row>
    <row r="401" spans="1:2">
      <c r="A401" s="24">
        <v>397</v>
      </c>
      <c r="B401" s="25"/>
    </row>
    <row r="402" spans="1:2">
      <c r="A402" s="24">
        <v>398</v>
      </c>
      <c r="B402" s="25"/>
    </row>
    <row r="403" spans="1:2">
      <c r="A403" s="24">
        <v>399</v>
      </c>
      <c r="B403" s="25"/>
    </row>
    <row r="404" spans="1:2">
      <c r="A404" s="24">
        <v>400</v>
      </c>
      <c r="B404" s="25"/>
    </row>
    <row r="405" spans="1:2">
      <c r="A405" s="24">
        <v>401</v>
      </c>
      <c r="B405" s="25"/>
    </row>
    <row r="406" spans="1:2">
      <c r="A406" s="24">
        <v>402</v>
      </c>
      <c r="B406" s="25"/>
    </row>
    <row r="407" spans="1:2">
      <c r="A407" s="24">
        <v>403</v>
      </c>
      <c r="B407" s="25"/>
    </row>
    <row r="408" spans="1:2">
      <c r="A408" s="24">
        <v>404</v>
      </c>
      <c r="B408" s="25"/>
    </row>
    <row r="409" spans="1:2">
      <c r="A409" s="24">
        <v>405</v>
      </c>
      <c r="B409" s="25"/>
    </row>
    <row r="410" spans="1:2">
      <c r="A410" s="24">
        <v>406</v>
      </c>
      <c r="B410" s="25"/>
    </row>
    <row r="411" spans="1:2">
      <c r="A411" s="24">
        <v>407</v>
      </c>
      <c r="B411" s="25"/>
    </row>
    <row r="412" spans="1:2">
      <c r="A412" s="24">
        <v>408</v>
      </c>
      <c r="B412" s="25"/>
    </row>
    <row r="413" spans="1:2">
      <c r="A413" s="24">
        <v>409</v>
      </c>
      <c r="B413" s="25"/>
    </row>
    <row r="414" spans="1:2">
      <c r="A414" s="24">
        <v>410</v>
      </c>
      <c r="B414" s="25"/>
    </row>
    <row r="415" spans="1:2">
      <c r="A415" s="24">
        <v>411</v>
      </c>
      <c r="B415" s="25"/>
    </row>
    <row r="416" spans="1:2">
      <c r="A416" s="24">
        <v>412</v>
      </c>
      <c r="B416" s="25"/>
    </row>
    <row r="417" spans="1:2">
      <c r="A417" s="24">
        <v>413</v>
      </c>
      <c r="B417" s="25"/>
    </row>
    <row r="418" spans="1:2">
      <c r="A418" s="24">
        <v>414</v>
      </c>
      <c r="B418" s="25"/>
    </row>
    <row r="419" spans="1:2">
      <c r="A419" s="24">
        <v>415</v>
      </c>
      <c r="B419" s="25"/>
    </row>
    <row r="420" spans="1:2">
      <c r="A420" s="24">
        <v>416</v>
      </c>
      <c r="B420" s="25"/>
    </row>
    <row r="421" spans="1:2">
      <c r="A421" s="24">
        <v>417</v>
      </c>
      <c r="B421" s="25"/>
    </row>
    <row r="422" spans="1:2">
      <c r="A422" s="24">
        <v>418</v>
      </c>
      <c r="B422" s="25"/>
    </row>
    <row r="423" spans="1:2">
      <c r="A423" s="24">
        <v>419</v>
      </c>
      <c r="B423" s="25"/>
    </row>
    <row r="424" spans="1:2">
      <c r="A424" s="24">
        <v>420</v>
      </c>
      <c r="B424" s="25"/>
    </row>
    <row r="425" spans="1:2">
      <c r="A425" s="24">
        <v>421</v>
      </c>
      <c r="B425" s="25"/>
    </row>
    <row r="426" spans="1:2">
      <c r="A426" s="24">
        <v>422</v>
      </c>
      <c r="B426" s="25"/>
    </row>
    <row r="427" spans="1:2">
      <c r="A427" s="24">
        <v>423</v>
      </c>
      <c r="B427" s="25"/>
    </row>
    <row r="428" spans="1:2">
      <c r="A428" s="24">
        <v>424</v>
      </c>
      <c r="B428" s="25"/>
    </row>
    <row r="429" spans="1:2">
      <c r="A429" s="24">
        <v>425</v>
      </c>
      <c r="B429" s="25"/>
    </row>
    <row r="430" spans="1:2">
      <c r="A430" s="24">
        <v>426</v>
      </c>
      <c r="B430" s="25"/>
    </row>
    <row r="431" spans="1:2">
      <c r="A431" s="24">
        <v>427</v>
      </c>
      <c r="B431" s="25"/>
    </row>
    <row r="432" spans="1:2">
      <c r="A432" s="24">
        <v>428</v>
      </c>
      <c r="B432" s="25"/>
    </row>
    <row r="433" spans="1:2">
      <c r="A433" s="24">
        <v>429</v>
      </c>
      <c r="B433" s="25"/>
    </row>
    <row r="434" spans="1:2">
      <c r="A434" s="24">
        <v>430</v>
      </c>
      <c r="B434" s="25"/>
    </row>
    <row r="435" spans="1:2">
      <c r="A435" s="24">
        <v>431</v>
      </c>
      <c r="B435" s="25"/>
    </row>
    <row r="436" spans="1:2">
      <c r="A436" s="24">
        <v>432</v>
      </c>
      <c r="B436" s="25"/>
    </row>
    <row r="437" spans="1:2">
      <c r="A437" s="24">
        <v>433</v>
      </c>
      <c r="B437" s="25"/>
    </row>
    <row r="438" spans="1:2">
      <c r="A438" s="24">
        <v>434</v>
      </c>
      <c r="B438" s="25"/>
    </row>
    <row r="439" spans="1:2">
      <c r="A439" s="24">
        <v>435</v>
      </c>
      <c r="B439" s="25"/>
    </row>
    <row r="440" spans="1:2">
      <c r="A440" s="24">
        <v>436</v>
      </c>
      <c r="B440" s="25"/>
    </row>
    <row r="441" spans="1:2">
      <c r="A441" s="24">
        <v>437</v>
      </c>
      <c r="B441" s="25"/>
    </row>
    <row r="442" spans="1:2">
      <c r="A442" s="24">
        <v>438</v>
      </c>
      <c r="B442" s="25"/>
    </row>
    <row r="443" spans="1:2">
      <c r="A443" s="24">
        <v>439</v>
      </c>
      <c r="B443" s="25"/>
    </row>
    <row r="444" spans="1:2">
      <c r="A444" s="24">
        <v>440</v>
      </c>
      <c r="B444" s="25"/>
    </row>
    <row r="445" spans="1:2">
      <c r="A445" s="24">
        <v>441</v>
      </c>
      <c r="B445" s="25"/>
    </row>
    <row r="446" spans="1:2">
      <c r="A446" s="24">
        <v>442</v>
      </c>
      <c r="B446" s="25"/>
    </row>
    <row r="447" spans="1:2">
      <c r="A447" s="24">
        <v>443</v>
      </c>
      <c r="B447" s="25"/>
    </row>
    <row r="448" spans="1:2">
      <c r="A448" s="24">
        <v>444</v>
      </c>
      <c r="B448" s="25"/>
    </row>
    <row r="449" spans="1:2">
      <c r="A449" s="24">
        <v>445</v>
      </c>
      <c r="B449" s="25"/>
    </row>
    <row r="450" spans="1:2">
      <c r="A450" s="24">
        <v>446</v>
      </c>
      <c r="B450" s="25"/>
    </row>
    <row r="451" spans="1:2">
      <c r="A451" s="24">
        <v>447</v>
      </c>
      <c r="B451" s="25"/>
    </row>
    <row r="452" spans="1:2">
      <c r="A452" s="24">
        <v>448</v>
      </c>
      <c r="B452" s="25"/>
    </row>
    <row r="453" spans="1:2">
      <c r="A453" s="24">
        <v>449</v>
      </c>
      <c r="B453" s="25"/>
    </row>
    <row r="454" spans="1:2">
      <c r="A454" s="24">
        <v>450</v>
      </c>
      <c r="B454" s="25"/>
    </row>
    <row r="455" spans="1:2">
      <c r="A455" s="24">
        <v>451</v>
      </c>
      <c r="B455" s="25"/>
    </row>
    <row r="456" spans="1:2">
      <c r="A456" s="24">
        <v>452</v>
      </c>
      <c r="B456" s="25"/>
    </row>
    <row r="457" spans="1:2">
      <c r="A457" s="24">
        <v>453</v>
      </c>
      <c r="B457" s="25"/>
    </row>
    <row r="458" spans="1:2">
      <c r="A458" s="24">
        <v>454</v>
      </c>
      <c r="B458" s="25"/>
    </row>
    <row r="459" spans="1:2">
      <c r="A459" s="24">
        <v>455</v>
      </c>
      <c r="B459" s="25"/>
    </row>
    <row r="460" spans="1:2">
      <c r="A460" s="24">
        <v>456</v>
      </c>
      <c r="B460" s="25"/>
    </row>
    <row r="461" spans="1:2">
      <c r="A461" s="24">
        <v>457</v>
      </c>
      <c r="B461" s="25"/>
    </row>
    <row r="462" spans="1:2">
      <c r="A462" s="24">
        <v>458</v>
      </c>
      <c r="B462" s="25"/>
    </row>
    <row r="463" spans="1:2">
      <c r="A463" s="24">
        <v>459</v>
      </c>
      <c r="B463" s="25"/>
    </row>
    <row r="464" spans="1:2">
      <c r="A464" s="24">
        <v>460</v>
      </c>
      <c r="B464" s="25"/>
    </row>
    <row r="465" spans="1:2">
      <c r="A465" s="24">
        <v>461</v>
      </c>
      <c r="B465" s="25"/>
    </row>
    <row r="466" spans="1:2">
      <c r="A466" s="24">
        <v>462</v>
      </c>
      <c r="B466" s="25"/>
    </row>
    <row r="467" spans="1:2">
      <c r="A467" s="24">
        <v>463</v>
      </c>
      <c r="B467" s="25"/>
    </row>
    <row r="468" spans="1:2">
      <c r="A468" s="24">
        <v>464</v>
      </c>
      <c r="B468" s="25"/>
    </row>
    <row r="469" spans="1:2">
      <c r="A469" s="24">
        <v>465</v>
      </c>
      <c r="B469" s="25"/>
    </row>
    <row r="470" spans="1:2">
      <c r="A470" s="24">
        <v>466</v>
      </c>
      <c r="B470" s="25"/>
    </row>
    <row r="471" spans="1:2">
      <c r="A471" s="24">
        <v>467</v>
      </c>
      <c r="B471" s="25"/>
    </row>
    <row r="472" spans="1:2">
      <c r="A472" s="24">
        <v>468</v>
      </c>
      <c r="B472" s="25"/>
    </row>
    <row r="473" spans="1:2">
      <c r="A473" s="24">
        <v>469</v>
      </c>
      <c r="B473" s="25"/>
    </row>
    <row r="474" spans="1:2">
      <c r="A474" s="24">
        <v>470</v>
      </c>
      <c r="B474" s="25"/>
    </row>
    <row r="475" spans="1:2">
      <c r="A475" s="24">
        <v>471</v>
      </c>
      <c r="B475" s="25"/>
    </row>
    <row r="476" spans="1:2">
      <c r="A476" s="24">
        <v>472</v>
      </c>
      <c r="B476" s="25"/>
    </row>
    <row r="477" spans="1:2">
      <c r="A477" s="24">
        <v>473</v>
      </c>
      <c r="B477" s="25"/>
    </row>
    <row r="478" spans="1:2">
      <c r="A478" s="24">
        <v>474</v>
      </c>
      <c r="B478" s="25"/>
    </row>
    <row r="479" spans="1:2">
      <c r="A479" s="24">
        <v>475</v>
      </c>
      <c r="B479" s="25"/>
    </row>
    <row r="480" spans="1:2">
      <c r="A480" s="24">
        <v>476</v>
      </c>
      <c r="B480" s="25"/>
    </row>
    <row r="481" spans="1:2">
      <c r="A481" s="24">
        <v>477</v>
      </c>
      <c r="B481" s="25"/>
    </row>
    <row r="482" spans="1:2">
      <c r="A482" s="24">
        <v>478</v>
      </c>
      <c r="B482" s="25"/>
    </row>
    <row r="483" spans="1:2">
      <c r="A483" s="24">
        <v>479</v>
      </c>
      <c r="B483" s="25"/>
    </row>
    <row r="484" spans="1:2">
      <c r="A484" s="24">
        <v>480</v>
      </c>
      <c r="B484" s="25"/>
    </row>
    <row r="485" spans="1:2">
      <c r="A485" s="24">
        <v>481</v>
      </c>
      <c r="B485" s="25"/>
    </row>
    <row r="486" spans="1:2">
      <c r="A486" s="24">
        <v>482</v>
      </c>
      <c r="B486" s="25"/>
    </row>
    <row r="487" spans="1:2">
      <c r="A487" s="24">
        <v>483</v>
      </c>
      <c r="B487" s="25"/>
    </row>
    <row r="488" spans="1:2">
      <c r="A488" s="24">
        <v>484</v>
      </c>
      <c r="B488" s="25"/>
    </row>
    <row r="489" spans="1:2">
      <c r="A489" s="24">
        <v>485</v>
      </c>
      <c r="B489" s="25"/>
    </row>
    <row r="490" spans="1:2">
      <c r="A490" s="24">
        <v>486</v>
      </c>
      <c r="B490" s="25"/>
    </row>
    <row r="491" spans="1:2">
      <c r="A491" s="24">
        <v>487</v>
      </c>
      <c r="B491" s="25"/>
    </row>
    <row r="492" spans="1:2">
      <c r="A492" s="24">
        <v>488</v>
      </c>
      <c r="B492" s="25"/>
    </row>
    <row r="493" spans="1:2">
      <c r="A493" s="24">
        <v>489</v>
      </c>
      <c r="B493" s="25"/>
    </row>
    <row r="494" spans="1:2">
      <c r="A494" s="24">
        <v>490</v>
      </c>
      <c r="B494" s="25"/>
    </row>
    <row r="495" spans="1:2">
      <c r="A495" s="24">
        <v>491</v>
      </c>
      <c r="B495" s="25"/>
    </row>
    <row r="496" spans="1:2">
      <c r="A496" s="24">
        <v>492</v>
      </c>
      <c r="B496" s="25"/>
    </row>
    <row r="497" spans="1:2">
      <c r="A497" s="24">
        <v>493</v>
      </c>
      <c r="B497" s="25"/>
    </row>
    <row r="498" spans="1:2">
      <c r="A498" s="24">
        <v>494</v>
      </c>
      <c r="B498" s="25"/>
    </row>
    <row r="499" spans="1:2">
      <c r="A499" s="24">
        <v>495</v>
      </c>
      <c r="B499" s="25"/>
    </row>
    <row r="500" spans="1:2">
      <c r="A500" s="24">
        <v>496</v>
      </c>
      <c r="B500" s="25"/>
    </row>
    <row r="501" spans="1:2">
      <c r="A501" s="24">
        <v>497</v>
      </c>
      <c r="B501" s="25"/>
    </row>
    <row r="502" spans="1:2">
      <c r="A502" s="24">
        <v>498</v>
      </c>
      <c r="B502" s="25"/>
    </row>
    <row r="503" spans="1:2">
      <c r="A503" s="24">
        <v>499</v>
      </c>
      <c r="B503" s="25"/>
    </row>
    <row r="504" spans="1:2">
      <c r="A504" s="24">
        <v>500</v>
      </c>
      <c r="B504" s="25"/>
    </row>
  </sheetData>
  <pageMargins left="0.7" right="0.7" top="0.75" bottom="0.75" header="0.3" footer="0.3"/>
  <drawing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4653397-933F-4834-8A55-73DA3F97D7C4}">
  <dimension ref="A4:O504"/>
  <sheetViews>
    <sheetView topLeftCell="A500" workbookViewId="0">
      <selection activeCell="A504" sqref="A504"/>
    </sheetView>
  </sheetViews>
  <sheetFormatPr defaultColWidth="8.69140625" defaultRowHeight="14.15"/>
  <cols>
    <col min="1" max="1" width="8.69140625" style="24"/>
    <col min="2" max="2" width="9" style="24" bestFit="1" customWidth="1"/>
    <col min="3" max="16384" width="8.69140625" style="24"/>
  </cols>
  <sheetData>
    <row r="4" spans="1:15">
      <c r="D4" s="24">
        <v>-100</v>
      </c>
      <c r="N4" s="24">
        <v>-100</v>
      </c>
    </row>
    <row r="5" spans="1:15">
      <c r="A5" s="24">
        <v>1</v>
      </c>
      <c r="B5" s="25">
        <f ca="1">100*(sim!$C$3+NORMSINV(RAND())*sim!$C$4)</f>
        <v>1.0569451548269022</v>
      </c>
      <c r="D5" s="24">
        <v>-3</v>
      </c>
      <c r="E5" s="24" cm="1">
        <f t="array" aca="1" ref="E5" ca="1">SUMPRODUCT(IF($B$5:$B$504&gt;D4,1,0),IF($B$5:$B$504&lt;=D5,1,0))</f>
        <v>0</v>
      </c>
      <c r="N5" s="24">
        <v>-3</v>
      </c>
      <c r="O5" s="24" cm="1">
        <f t="array" aca="1" ref="O5" ca="1">SUMPRODUCT(IF($B$5:$B$504&gt;N4,1,0),IF($B$5:$B$504&lt;=N5,1,0))</f>
        <v>0</v>
      </c>
    </row>
    <row r="6" spans="1:15">
      <c r="A6" s="24">
        <v>2</v>
      </c>
      <c r="B6" s="25">
        <f ca="1">100*(sim!$C$3+NORMSINV(RAND())*sim!$C$4)</f>
        <v>0.47653812733754325</v>
      </c>
      <c r="D6" s="24">
        <v>-2.9</v>
      </c>
      <c r="E6" s="24" cm="1">
        <f t="array" aca="1" ref="E6" ca="1">SUMPRODUCT(IF($B$5:$B$504&gt;D5,1,0),IF($B$5:$B$504&lt;=D6,1,0))</f>
        <v>0</v>
      </c>
      <c r="N6" s="24">
        <v>-2.75</v>
      </c>
      <c r="O6" s="24" cm="1">
        <f t="array" aca="1" ref="O6" ca="1">SUMPRODUCT(IF($B$5:$B$504&gt;N5,1,0),IF($B$5:$B$504&lt;=N6,1,0))</f>
        <v>0</v>
      </c>
    </row>
    <row r="7" spans="1:15">
      <c r="A7" s="24">
        <v>3</v>
      </c>
      <c r="B7" s="25">
        <f ca="1">100*(sim!$C$3+NORMSINV(RAND())*sim!$C$4)</f>
        <v>1.7040910143220094</v>
      </c>
      <c r="D7" s="24">
        <v>-2.8</v>
      </c>
      <c r="E7" s="24" cm="1">
        <f t="array" aca="1" ref="E7" ca="1">SUMPRODUCT(IF($B$5:$B$504&gt;D6,1,0),IF($B$5:$B$504&lt;=D7,1,0))</f>
        <v>0</v>
      </c>
      <c r="N7" s="24">
        <v>-2.5</v>
      </c>
      <c r="O7" s="24" cm="1">
        <f t="array" aca="1" ref="O7" ca="1">SUMPRODUCT(IF($B$5:$B$504&gt;N6,1,0),IF($B$5:$B$504&lt;=N7,1,0))</f>
        <v>0</v>
      </c>
    </row>
    <row r="8" spans="1:15">
      <c r="A8" s="24">
        <v>4</v>
      </c>
      <c r="B8" s="25">
        <f ca="1">100*(sim!$C$3+NORMSINV(RAND())*sim!$C$4)</f>
        <v>3.8465243260442996</v>
      </c>
      <c r="D8" s="24">
        <v>-2.7</v>
      </c>
      <c r="E8" s="24" cm="1">
        <f t="array" aca="1" ref="E8" ca="1">SUMPRODUCT(IF($B$5:$B$504&gt;D7,1,0),IF($B$5:$B$504&lt;=D8,1,0))</f>
        <v>0</v>
      </c>
      <c r="N8" s="24">
        <v>-2.25</v>
      </c>
      <c r="O8" s="24" cm="1">
        <f t="array" aca="1" ref="O8" ca="1">SUMPRODUCT(IF($B$5:$B$504&gt;N7,1,0),IF($B$5:$B$504&lt;=N8,1,0))</f>
        <v>0</v>
      </c>
    </row>
    <row r="9" spans="1:15">
      <c r="A9" s="24">
        <v>5</v>
      </c>
      <c r="B9" s="25">
        <f ca="1">100*(sim!$C$3+NORMSINV(RAND())*sim!$C$4)</f>
        <v>0.81031375755942436</v>
      </c>
      <c r="D9" s="24">
        <v>-2.6</v>
      </c>
      <c r="E9" s="24" cm="1">
        <f t="array" aca="1" ref="E9" ca="1">SUMPRODUCT(IF($B$5:$B$504&gt;D8,1,0),IF($B$5:$B$504&lt;=D9,1,0))</f>
        <v>0</v>
      </c>
      <c r="N9" s="24">
        <v>-2</v>
      </c>
      <c r="O9" s="24" cm="1">
        <f t="array" aca="1" ref="O9" ca="1">SUMPRODUCT(IF($B$5:$B$504&gt;N8,1,0),IF($B$5:$B$504&lt;=N9,1,0))</f>
        <v>0</v>
      </c>
    </row>
    <row r="10" spans="1:15">
      <c r="A10" s="24">
        <v>6</v>
      </c>
      <c r="B10" s="25">
        <f ca="1">100*(sim!$C$3+NORMSINV(RAND())*sim!$C$4)</f>
        <v>2.0876270461752653</v>
      </c>
      <c r="D10" s="24">
        <v>-2.5</v>
      </c>
      <c r="E10" s="24" cm="1">
        <f t="array" aca="1" ref="E10" ca="1">SUMPRODUCT(IF($B$5:$B$504&gt;D9,1,0),IF($B$5:$B$504&lt;=D10,1,0))</f>
        <v>0</v>
      </c>
      <c r="N10" s="24">
        <v>-1.75</v>
      </c>
      <c r="O10" s="24" cm="1">
        <f t="array" aca="1" ref="O10" ca="1">SUMPRODUCT(IF($B$5:$B$504&gt;N9,1,0),IF($B$5:$B$504&lt;=N10,1,0))</f>
        <v>0</v>
      </c>
    </row>
    <row r="11" spans="1:15">
      <c r="A11" s="24">
        <v>7</v>
      </c>
      <c r="B11" s="25">
        <f ca="1">100*(sim!$C$3+NORMSINV(RAND())*sim!$C$4)</f>
        <v>-0.1213567701088776</v>
      </c>
      <c r="D11" s="24">
        <v>-2.4</v>
      </c>
      <c r="E11" s="24" cm="1">
        <f t="array" aca="1" ref="E11" ca="1">SUMPRODUCT(IF($B$5:$B$504&gt;D10,1,0),IF($B$5:$B$504&lt;=D11,1,0))</f>
        <v>0</v>
      </c>
      <c r="N11" s="24">
        <v>-1.5</v>
      </c>
      <c r="O11" s="24" cm="1">
        <f t="array" aca="1" ref="O11" ca="1">SUMPRODUCT(IF($B$5:$B$504&gt;N10,1,0),IF($B$5:$B$504&lt;=N11,1,0))</f>
        <v>0</v>
      </c>
    </row>
    <row r="12" spans="1:15">
      <c r="A12" s="24">
        <v>8</v>
      </c>
      <c r="B12" s="25">
        <f ca="1">100*(sim!$C$3+NORMSINV(RAND())*sim!$C$4)</f>
        <v>1.510684179827551</v>
      </c>
      <c r="D12" s="24">
        <v>-2.2999999999999998</v>
      </c>
      <c r="E12" s="24" cm="1">
        <f t="array" aca="1" ref="E12" ca="1">SUMPRODUCT(IF($B$5:$B$504&gt;D11,1,0),IF($B$5:$B$504&lt;=D12,1,0))</f>
        <v>0</v>
      </c>
      <c r="N12" s="24">
        <v>-1.25</v>
      </c>
      <c r="O12" s="24" cm="1">
        <f t="array" aca="1" ref="O12" ca="1">SUMPRODUCT(IF($B$5:$B$504&gt;N11,1,0),IF($B$5:$B$504&lt;=N12,1,0))</f>
        <v>1</v>
      </c>
    </row>
    <row r="13" spans="1:15">
      <c r="A13" s="24">
        <v>9</v>
      </c>
      <c r="B13" s="25">
        <f ca="1">100*(sim!$C$3+NORMSINV(RAND())*sim!$C$4)</f>
        <v>2.8781036216385441</v>
      </c>
      <c r="D13" s="24">
        <v>-2.2000000000000002</v>
      </c>
      <c r="E13" s="24" cm="1">
        <f t="array" aca="1" ref="E13" ca="1">SUMPRODUCT(IF($B$5:$B$504&gt;D12,1,0),IF($B$5:$B$504&lt;=D13,1,0))</f>
        <v>0</v>
      </c>
      <c r="N13" s="24">
        <v>-1</v>
      </c>
      <c r="O13" s="24" cm="1">
        <f t="array" aca="1" ref="O13" ca="1">SUMPRODUCT(IF($B$5:$B$504&gt;N12,1,0),IF($B$5:$B$504&lt;=N13,1,0))</f>
        <v>0</v>
      </c>
    </row>
    <row r="14" spans="1:15">
      <c r="A14" s="24">
        <v>10</v>
      </c>
      <c r="B14" s="25">
        <f ca="1">100*(sim!$C$3+NORMSINV(RAND())*sim!$C$4)</f>
        <v>1.6880057190095308</v>
      </c>
      <c r="D14" s="24">
        <v>-2.1</v>
      </c>
      <c r="E14" s="24" cm="1">
        <f t="array" aca="1" ref="E14" ca="1">SUMPRODUCT(IF($B$5:$B$504&gt;D13,1,0),IF($B$5:$B$504&lt;=D14,1,0))</f>
        <v>0</v>
      </c>
      <c r="N14" s="24">
        <v>-0.75</v>
      </c>
      <c r="O14" s="24" cm="1">
        <f t="array" aca="1" ref="O14" ca="1">SUMPRODUCT(IF($B$5:$B$504&gt;N13,1,0),IF($B$5:$B$504&lt;=N14,1,0))</f>
        <v>0</v>
      </c>
    </row>
    <row r="15" spans="1:15">
      <c r="A15" s="24">
        <v>11</v>
      </c>
      <c r="B15" s="25">
        <f ca="1">100*(sim!$C$3+NORMSINV(RAND())*sim!$C$4)</f>
        <v>0.63540680554575357</v>
      </c>
      <c r="D15" s="24">
        <v>-2</v>
      </c>
      <c r="E15" s="24" cm="1">
        <f t="array" aca="1" ref="E15" ca="1">SUMPRODUCT(IF($B$5:$B$504&gt;D14,1,0),IF($B$5:$B$504&lt;=D15,1,0))</f>
        <v>0</v>
      </c>
      <c r="N15" s="24">
        <v>-0.5</v>
      </c>
      <c r="O15" s="24" cm="1">
        <f t="array" aca="1" ref="O15" ca="1">SUMPRODUCT(IF($B$5:$B$504&gt;N14,1,0),IF($B$5:$B$504&lt;=N15,1,0))</f>
        <v>2</v>
      </c>
    </row>
    <row r="16" spans="1:15">
      <c r="A16" s="24">
        <v>12</v>
      </c>
      <c r="B16" s="25">
        <f ca="1">100*(sim!$C$3+NORMSINV(RAND())*sim!$C$4)</f>
        <v>2.6701354650330056</v>
      </c>
      <c r="D16" s="24">
        <v>-1.9</v>
      </c>
      <c r="E16" s="24" cm="1">
        <f t="array" aca="1" ref="E16" ca="1">SUMPRODUCT(IF($B$5:$B$504&gt;D15,1,0),IF($B$5:$B$504&lt;=D16,1,0))</f>
        <v>0</v>
      </c>
      <c r="N16" s="24">
        <v>-0.25</v>
      </c>
      <c r="O16" s="24" cm="1">
        <f t="array" aca="1" ref="O16" ca="1">SUMPRODUCT(IF($B$5:$B$504&gt;N15,1,0),IF($B$5:$B$504&lt;=N16,1,0))</f>
        <v>1</v>
      </c>
    </row>
    <row r="17" spans="1:15">
      <c r="A17" s="24">
        <v>13</v>
      </c>
      <c r="B17" s="25">
        <f ca="1">100*(sim!$C$3+NORMSINV(RAND())*sim!$C$4)</f>
        <v>0.92607008305197769</v>
      </c>
      <c r="D17" s="24">
        <v>-1.8</v>
      </c>
      <c r="E17" s="24" cm="1">
        <f t="array" aca="1" ref="E17" ca="1">SUMPRODUCT(IF($B$5:$B$504&gt;D16,1,0),IF($B$5:$B$504&lt;=D17,1,0))</f>
        <v>0</v>
      </c>
      <c r="N17" s="24">
        <v>0</v>
      </c>
      <c r="O17" s="24" cm="1">
        <f t="array" aca="1" ref="O17" ca="1">SUMPRODUCT(IF($B$5:$B$504&gt;N16,1,0),IF($B$5:$B$504&lt;=N17,1,0))</f>
        <v>11</v>
      </c>
    </row>
    <row r="18" spans="1:15">
      <c r="A18" s="24">
        <v>14</v>
      </c>
      <c r="B18" s="25">
        <f ca="1">100*(sim!$C$3+NORMSINV(RAND())*sim!$C$4)</f>
        <v>1.6343648293116049</v>
      </c>
      <c r="D18" s="24">
        <v>-1.7</v>
      </c>
      <c r="E18" s="24" cm="1">
        <f t="array" aca="1" ref="E18" ca="1">SUMPRODUCT(IF($B$5:$B$504&gt;D17,1,0),IF($B$5:$B$504&lt;=D18,1,0))</f>
        <v>0</v>
      </c>
      <c r="N18" s="24">
        <v>0.25</v>
      </c>
      <c r="O18" s="24" cm="1">
        <f t="array" aca="1" ref="O18" ca="1">SUMPRODUCT(IF($B$5:$B$504&gt;N17,1,0),IF($B$5:$B$504&lt;=N18,1,0))</f>
        <v>11</v>
      </c>
    </row>
    <row r="19" spans="1:15">
      <c r="A19" s="24">
        <v>15</v>
      </c>
      <c r="B19" s="25">
        <f ca="1">100*(sim!$C$3+NORMSINV(RAND())*sim!$C$4)</f>
        <v>-0.61846594875997718</v>
      </c>
      <c r="D19" s="24">
        <v>-1.6</v>
      </c>
      <c r="E19" s="24" cm="1">
        <f t="array" aca="1" ref="E19" ca="1">SUMPRODUCT(IF($B$5:$B$504&gt;D18,1,0),IF($B$5:$B$504&lt;=D19,1,0))</f>
        <v>0</v>
      </c>
      <c r="N19" s="24">
        <v>0.5</v>
      </c>
      <c r="O19" s="24" cm="1">
        <f t="array" aca="1" ref="O19" ca="1">SUMPRODUCT(IF($B$5:$B$504&gt;N18,1,0),IF($B$5:$B$504&lt;=N19,1,0))</f>
        <v>12</v>
      </c>
    </row>
    <row r="20" spans="1:15">
      <c r="A20" s="24">
        <v>16</v>
      </c>
      <c r="B20" s="25">
        <f ca="1">100*(sim!$C$3+NORMSINV(RAND())*sim!$C$4)</f>
        <v>0.9053238140580866</v>
      </c>
      <c r="D20" s="24">
        <v>-1.5</v>
      </c>
      <c r="E20" s="24" cm="1">
        <f t="array" aca="1" ref="E20" ca="1">SUMPRODUCT(IF($B$5:$B$504&gt;D19,1,0),IF($B$5:$B$504&lt;=D20,1,0))</f>
        <v>0</v>
      </c>
      <c r="N20" s="24">
        <v>0.75</v>
      </c>
      <c r="O20" s="24" cm="1">
        <f t="array" aca="1" ref="O20" ca="1">SUMPRODUCT(IF($B$5:$B$504&gt;N19,1,0),IF($B$5:$B$504&lt;=N20,1,0))</f>
        <v>29</v>
      </c>
    </row>
    <row r="21" spans="1:15">
      <c r="A21" s="24">
        <v>17</v>
      </c>
      <c r="B21" s="25">
        <f ca="1">100*(sim!$C$3+NORMSINV(RAND())*sim!$C$4)</f>
        <v>3.0186542569703469</v>
      </c>
      <c r="D21" s="24">
        <v>-1.4</v>
      </c>
      <c r="E21" s="24" cm="1">
        <f t="array" aca="1" ref="E21" ca="1">SUMPRODUCT(IF($B$5:$B$504&gt;D20,1,0),IF($B$5:$B$504&lt;=D21,1,0))</f>
        <v>0</v>
      </c>
      <c r="N21" s="24">
        <v>1</v>
      </c>
      <c r="O21" s="24" cm="1">
        <f t="array" aca="1" ref="O21" ca="1">SUMPRODUCT(IF($B$5:$B$504&gt;N20,1,0),IF($B$5:$B$504&lt;=N21,1,0))</f>
        <v>23</v>
      </c>
    </row>
    <row r="22" spans="1:15">
      <c r="A22" s="24">
        <v>18</v>
      </c>
      <c r="B22" s="25">
        <f ca="1">100*(sim!$C$3+NORMSINV(RAND())*sim!$C$4)</f>
        <v>0.6642207176691709</v>
      </c>
      <c r="D22" s="24">
        <v>-1.3</v>
      </c>
      <c r="E22" s="24" cm="1">
        <f t="array" aca="1" ref="E22" ca="1">SUMPRODUCT(IF($B$5:$B$504&gt;D21,1,0),IF($B$5:$B$504&lt;=D22,1,0))</f>
        <v>0</v>
      </c>
      <c r="N22" s="24">
        <v>1.25</v>
      </c>
      <c r="O22" s="24" cm="1">
        <f t="array" aca="1" ref="O22" ca="1">SUMPRODUCT(IF($B$5:$B$504&gt;N21,1,0),IF($B$5:$B$504&lt;=N22,1,0))</f>
        <v>27</v>
      </c>
    </row>
    <row r="23" spans="1:15">
      <c r="A23" s="24">
        <v>19</v>
      </c>
      <c r="B23" s="25">
        <f ca="1">100*(sim!$C$3+NORMSINV(RAND())*sim!$C$4)</f>
        <v>2.1119364645428806</v>
      </c>
      <c r="D23" s="24">
        <v>-1.2</v>
      </c>
      <c r="E23" s="24" cm="1">
        <f t="array" aca="1" ref="E23" ca="1">SUMPRODUCT(IF($B$5:$B$504&gt;D22,1,0),IF($B$5:$B$504&lt;=D23,1,0))</f>
        <v>1</v>
      </c>
      <c r="N23" s="24">
        <v>1.5</v>
      </c>
      <c r="O23" s="24" cm="1">
        <f t="array" aca="1" ref="O23" ca="1">SUMPRODUCT(IF($B$5:$B$504&gt;N22,1,0),IF($B$5:$B$504&lt;=N23,1,0))</f>
        <v>36</v>
      </c>
    </row>
    <row r="24" spans="1:15">
      <c r="A24" s="24">
        <v>20</v>
      </c>
      <c r="B24" s="25">
        <f ca="1">100*(sim!$C$3+NORMSINV(RAND())*sim!$C$4)</f>
        <v>1.2307625516047032</v>
      </c>
      <c r="D24" s="24">
        <v>-1.1000000000000001</v>
      </c>
      <c r="E24" s="24" cm="1">
        <f t="array" aca="1" ref="E24" ca="1">SUMPRODUCT(IF($B$5:$B$504&gt;D23,1,0),IF($B$5:$B$504&lt;=D24,1,0))</f>
        <v>0</v>
      </c>
      <c r="N24" s="24">
        <v>1.75</v>
      </c>
      <c r="O24" s="24" cm="1">
        <f t="array" aca="1" ref="O24" ca="1">SUMPRODUCT(IF($B$5:$B$504&gt;N23,1,0),IF($B$5:$B$504&lt;=N24,1,0))</f>
        <v>46</v>
      </c>
    </row>
    <row r="25" spans="1:15">
      <c r="A25" s="24">
        <v>21</v>
      </c>
      <c r="B25" s="25">
        <f ca="1">100*(sim!$C$3+NORMSINV(RAND())*sim!$C$4)</f>
        <v>1.0495534711504744</v>
      </c>
      <c r="D25" s="24">
        <v>-1</v>
      </c>
      <c r="E25" s="24" cm="1">
        <f t="array" aca="1" ref="E25" ca="1">SUMPRODUCT(IF($B$5:$B$504&gt;D24,1,0),IF($B$5:$B$504&lt;=D25,1,0))</f>
        <v>0</v>
      </c>
      <c r="N25" s="24">
        <v>2</v>
      </c>
      <c r="O25" s="24" cm="1">
        <f t="array" aca="1" ref="O25" ca="1">SUMPRODUCT(IF($B$5:$B$504&gt;N24,1,0),IF($B$5:$B$504&lt;=N25,1,0))</f>
        <v>53</v>
      </c>
    </row>
    <row r="26" spans="1:15">
      <c r="A26" s="24">
        <v>22</v>
      </c>
      <c r="B26" s="25">
        <f ca="1">100*(sim!$C$3+NORMSINV(RAND())*sim!$C$4)</f>
        <v>1.2216880063089304</v>
      </c>
      <c r="D26" s="24">
        <v>-0.9</v>
      </c>
      <c r="E26" s="24" cm="1">
        <f t="array" aca="1" ref="E26" ca="1">SUMPRODUCT(IF($B$5:$B$504&gt;D25,1,0),IF($B$5:$B$504&lt;=D26,1,0))</f>
        <v>0</v>
      </c>
      <c r="N26" s="24">
        <v>2.25</v>
      </c>
      <c r="O26" s="24" cm="1">
        <f t="array" aca="1" ref="O26" ca="1">SUMPRODUCT(IF($B$5:$B$504&gt;N25,1,0),IF($B$5:$B$504&lt;=N26,1,0))</f>
        <v>46</v>
      </c>
    </row>
    <row r="27" spans="1:15">
      <c r="A27" s="24">
        <v>23</v>
      </c>
      <c r="B27" s="25">
        <f ca="1">100*(sim!$C$3+NORMSINV(RAND())*sim!$C$4)</f>
        <v>1.9171992924314887</v>
      </c>
      <c r="D27" s="24">
        <v>-0.8</v>
      </c>
      <c r="E27" s="24" cm="1">
        <f t="array" aca="1" ref="E27" ca="1">SUMPRODUCT(IF($B$5:$B$504&gt;D26,1,0),IF($B$5:$B$504&lt;=D27,1,0))</f>
        <v>0</v>
      </c>
      <c r="N27" s="24">
        <v>2.5</v>
      </c>
      <c r="O27" s="24" cm="1">
        <f t="array" aca="1" ref="O27" ca="1">SUMPRODUCT(IF($B$5:$B$504&gt;N26,1,0),IF($B$5:$B$504&lt;=N27,1,0))</f>
        <v>43</v>
      </c>
    </row>
    <row r="28" spans="1:15">
      <c r="A28" s="24">
        <v>24</v>
      </c>
      <c r="B28" s="25">
        <f ca="1">100*(sim!$C$3+NORMSINV(RAND())*sim!$C$4)</f>
        <v>2.3286793962531336</v>
      </c>
      <c r="D28" s="24">
        <v>-0.7</v>
      </c>
      <c r="E28" s="24" cm="1">
        <f t="array" aca="1" ref="E28" ca="1">SUMPRODUCT(IF($B$5:$B$504&gt;D27,1,0),IF($B$5:$B$504&lt;=D28,1,0))</f>
        <v>0</v>
      </c>
      <c r="N28" s="24">
        <v>2.75</v>
      </c>
      <c r="O28" s="24" cm="1">
        <f t="array" aca="1" ref="O28" ca="1">SUMPRODUCT(IF($B$5:$B$504&gt;N27,1,0),IF($B$5:$B$504&lt;=N28,1,0))</f>
        <v>41</v>
      </c>
    </row>
    <row r="29" spans="1:15">
      <c r="A29" s="24">
        <v>25</v>
      </c>
      <c r="B29" s="25">
        <f ca="1">100*(sim!$C$3+NORMSINV(RAND())*sim!$C$4)</f>
        <v>3.1085198241944494</v>
      </c>
      <c r="D29" s="24">
        <v>-0.6</v>
      </c>
      <c r="E29" s="24" cm="1">
        <f t="array" aca="1" ref="E29" ca="1">SUMPRODUCT(IF($B$5:$B$504&gt;D28,1,0),IF($B$5:$B$504&lt;=D29,1,0))</f>
        <v>1</v>
      </c>
      <c r="N29" s="24">
        <v>3</v>
      </c>
      <c r="O29" s="24" cm="1">
        <f t="array" aca="1" ref="O29" ca="1">SUMPRODUCT(IF($B$5:$B$504&gt;N28,1,0),IF($B$5:$B$504&lt;=N29,1,0))</f>
        <v>38</v>
      </c>
    </row>
    <row r="30" spans="1:15">
      <c r="A30" s="24">
        <v>26</v>
      </c>
      <c r="B30" s="25">
        <f ca="1">100*(sim!$C$3+NORMSINV(RAND())*sim!$C$4)</f>
        <v>3.9437989591880851</v>
      </c>
      <c r="D30" s="24">
        <v>-0.5</v>
      </c>
      <c r="E30" s="24" cm="1">
        <f t="array" aca="1" ref="E30" ca="1">SUMPRODUCT(IF($B$5:$B$504&gt;D29,1,0),IF($B$5:$B$504&lt;=D30,1,0))</f>
        <v>1</v>
      </c>
      <c r="I30" s="24" t="s">
        <v>16</v>
      </c>
      <c r="N30" s="24">
        <v>3.25</v>
      </c>
      <c r="O30" s="24" cm="1">
        <f t="array" aca="1" ref="O30" ca="1">SUMPRODUCT(IF($B$5:$B$504&gt;N29,1,0),IF($B$5:$B$504&lt;=N30,1,0))</f>
        <v>28</v>
      </c>
    </row>
    <row r="31" spans="1:15">
      <c r="A31" s="24">
        <v>27</v>
      </c>
      <c r="B31" s="25">
        <f ca="1">100*(sim!$C$3+NORMSINV(RAND())*sim!$C$4)</f>
        <v>0.95084305529345692</v>
      </c>
      <c r="D31" s="24">
        <v>-0.4</v>
      </c>
      <c r="E31" s="24" cm="1">
        <f t="array" aca="1" ref="E31" ca="1">SUMPRODUCT(IF($B$5:$B$504&gt;D30,1,0),IF($B$5:$B$504&lt;=D31,1,0))</f>
        <v>1</v>
      </c>
      <c r="N31" s="24">
        <v>3.5</v>
      </c>
      <c r="O31" s="24" cm="1">
        <f t="array" aca="1" ref="O31" ca="1">SUMPRODUCT(IF($B$5:$B$504&gt;N30,1,0),IF($B$5:$B$504&lt;=N31,1,0))</f>
        <v>17</v>
      </c>
    </row>
    <row r="32" spans="1:15">
      <c r="A32" s="24">
        <v>28</v>
      </c>
      <c r="B32" s="25">
        <f ca="1">100*(sim!$C$3+NORMSINV(RAND())*sim!$C$4)</f>
        <v>1.3032144133114532</v>
      </c>
      <c r="D32" s="24">
        <v>-0.3</v>
      </c>
      <c r="E32" s="24" cm="1">
        <f t="array" aca="1" ref="E32" ca="1">SUMPRODUCT(IF($B$5:$B$504&gt;D31,1,0),IF($B$5:$B$504&lt;=D32,1,0))</f>
        <v>0</v>
      </c>
      <c r="N32" s="24">
        <v>3.75</v>
      </c>
      <c r="O32" s="24" cm="1">
        <f t="array" aca="1" ref="O32" ca="1">SUMPRODUCT(IF($B$5:$B$504&gt;N31,1,0),IF($B$5:$B$504&lt;=N32,1,0))</f>
        <v>11</v>
      </c>
    </row>
    <row r="33" spans="1:15">
      <c r="A33" s="24">
        <v>29</v>
      </c>
      <c r="B33" s="25">
        <f ca="1">100*(sim!$C$3+NORMSINV(RAND())*sim!$C$4)</f>
        <v>1.4694769321979753</v>
      </c>
      <c r="D33" s="24">
        <v>-0.2</v>
      </c>
      <c r="E33" s="24" cm="1">
        <f t="array" aca="1" ref="E33" ca="1">SUMPRODUCT(IF($B$5:$B$504&gt;D32,1,0),IF($B$5:$B$504&lt;=D33,1,0))</f>
        <v>0</v>
      </c>
      <c r="N33" s="24">
        <v>4</v>
      </c>
      <c r="O33" s="24" cm="1">
        <f t="array" aca="1" ref="O33" ca="1">SUMPRODUCT(IF($B$5:$B$504&gt;N32,1,0),IF($B$5:$B$504&lt;=N33,1,0))</f>
        <v>14</v>
      </c>
    </row>
    <row r="34" spans="1:15">
      <c r="A34" s="24">
        <v>30</v>
      </c>
      <c r="B34" s="25">
        <f ca="1">100*(sim!$C$3+NORMSINV(RAND())*sim!$C$4)</f>
        <v>3.4198763698277221</v>
      </c>
      <c r="D34" s="24">
        <v>-0.1</v>
      </c>
      <c r="E34" s="24" cm="1">
        <f t="array" aca="1" ref="E34" ca="1">SUMPRODUCT(IF($B$5:$B$504&gt;D33,1,0),IF($B$5:$B$504&lt;=D34,1,0))</f>
        <v>4</v>
      </c>
      <c r="N34" s="24">
        <v>4.25</v>
      </c>
      <c r="O34" s="24" cm="1">
        <f t="array" aca="1" ref="O34" ca="1">SUMPRODUCT(IF($B$5:$B$504&gt;N33,1,0),IF($B$5:$B$504&lt;=N34,1,0))</f>
        <v>4</v>
      </c>
    </row>
    <row r="35" spans="1:15">
      <c r="A35" s="24">
        <v>31</v>
      </c>
      <c r="B35" s="25">
        <f ca="1">100*(sim!$C$3+NORMSINV(RAND())*sim!$C$4)</f>
        <v>2.9351801294827231</v>
      </c>
      <c r="D35" s="24">
        <v>0</v>
      </c>
      <c r="E35" s="24" cm="1">
        <f t="array" aca="1" ref="E35" ca="1">SUMPRODUCT(IF($B$5:$B$504&gt;D34,1,0),IF($B$5:$B$504&lt;=D35,1,0))</f>
        <v>7</v>
      </c>
      <c r="N35" s="24">
        <v>4.5</v>
      </c>
      <c r="O35" s="24" cm="1">
        <f t="array" aca="1" ref="O35" ca="1">SUMPRODUCT(IF($B$5:$B$504&gt;N34,1,0),IF($B$5:$B$504&lt;=N35,1,0))</f>
        <v>0</v>
      </c>
    </row>
    <row r="36" spans="1:15">
      <c r="A36" s="24">
        <v>32</v>
      </c>
      <c r="B36" s="25">
        <f ca="1">100*(sim!$C$3+NORMSINV(RAND())*sim!$C$4)</f>
        <v>1.7676645351257447</v>
      </c>
      <c r="D36" s="24">
        <v>0.1</v>
      </c>
      <c r="E36" s="24" cm="1">
        <f t="array" aca="1" ref="E36" ca="1">SUMPRODUCT(IF($B$5:$B$504&gt;D35,1,0),IF($B$5:$B$504&lt;=D36,1,0))</f>
        <v>2</v>
      </c>
      <c r="N36" s="24">
        <v>4.75</v>
      </c>
      <c r="O36" s="24" cm="1">
        <f t="array" aca="1" ref="O36" ca="1">SUMPRODUCT(IF($B$5:$B$504&gt;N35,1,0),IF($B$5:$B$504&lt;=N36,1,0))</f>
        <v>3</v>
      </c>
    </row>
    <row r="37" spans="1:15">
      <c r="A37" s="24">
        <v>33</v>
      </c>
      <c r="B37" s="25">
        <f ca="1">100*(sim!$C$3+NORMSINV(RAND())*sim!$C$4)</f>
        <v>1.7290014529808855</v>
      </c>
      <c r="D37" s="24">
        <v>0.2</v>
      </c>
      <c r="E37" s="24" cm="1">
        <f t="array" aca="1" ref="E37" ca="1">SUMPRODUCT(IF($B$5:$B$504&gt;D36,1,0),IF($B$5:$B$504&lt;=D37,1,0))</f>
        <v>4</v>
      </c>
      <c r="N37" s="24">
        <v>5</v>
      </c>
      <c r="O37" s="24" cm="1">
        <f t="array" aca="1" ref="O37" ca="1">SUMPRODUCT(IF($B$5:$B$504&gt;N36,1,0),IF($B$5:$B$504&lt;=N37,1,0))</f>
        <v>3</v>
      </c>
    </row>
    <row r="38" spans="1:15" ht="14.6">
      <c r="A38" s="24">
        <v>34</v>
      </c>
      <c r="B38" s="25">
        <f ca="1">100*(sim!$C$3+NORMSINV(RAND())*sim!$C$4)</f>
        <v>1.2042957686294806E-2</v>
      </c>
      <c r="D38" s="24">
        <v>0.3</v>
      </c>
      <c r="E38" s="24" cm="1">
        <f t="array" aca="1" ref="E38" ca="1">SUMPRODUCT(IF($B$5:$B$504&gt;D37,1,0),IF($B$5:$B$504&lt;=D38,1,0))</f>
        <v>6</v>
      </c>
      <c r="N38"/>
      <c r="O38"/>
    </row>
    <row r="39" spans="1:15" ht="14.6">
      <c r="A39" s="24">
        <v>35</v>
      </c>
      <c r="B39" s="25">
        <f ca="1">100*(sim!$C$3+NORMSINV(RAND())*sim!$C$4)</f>
        <v>1.8553480598747971</v>
      </c>
      <c r="D39" s="24">
        <v>0.4</v>
      </c>
      <c r="E39" s="24" cm="1">
        <f t="array" aca="1" ref="E39" ca="1">SUMPRODUCT(IF($B$5:$B$504&gt;D38,1,0),IF($B$5:$B$504&lt;=D39,1,0))</f>
        <v>3</v>
      </c>
      <c r="N39"/>
      <c r="O39"/>
    </row>
    <row r="40" spans="1:15" ht="14.6">
      <c r="A40" s="24">
        <v>36</v>
      </c>
      <c r="B40" s="25">
        <f ca="1">100*(sim!$C$3+NORMSINV(RAND())*sim!$C$4)</f>
        <v>3.8119531630430346</v>
      </c>
      <c r="D40" s="24">
        <v>0.5</v>
      </c>
      <c r="E40" s="24" cm="1">
        <f t="array" aca="1" ref="E40" ca="1">SUMPRODUCT(IF($B$5:$B$504&gt;D39,1,0),IF($B$5:$B$504&lt;=D40,1,0))</f>
        <v>8</v>
      </c>
      <c r="N40"/>
      <c r="O40"/>
    </row>
    <row r="41" spans="1:15" ht="14.6">
      <c r="A41" s="24">
        <v>37</v>
      </c>
      <c r="B41" s="25">
        <f ca="1">100*(sim!$C$3+NORMSINV(RAND())*sim!$C$4)</f>
        <v>2.0129446111128715</v>
      </c>
      <c r="D41" s="24">
        <v>0.6</v>
      </c>
      <c r="E41" s="24" cm="1">
        <f t="array" aca="1" ref="E41" ca="1">SUMPRODUCT(IF($B$5:$B$504&gt;D40,1,0),IF($B$5:$B$504&lt;=D41,1,0))</f>
        <v>7</v>
      </c>
      <c r="N41"/>
      <c r="O41"/>
    </row>
    <row r="42" spans="1:15" ht="14.6">
      <c r="A42" s="24">
        <v>38</v>
      </c>
      <c r="B42" s="25">
        <f ca="1">100*(sim!$C$3+NORMSINV(RAND())*sim!$C$4)</f>
        <v>1.9780958560245314</v>
      </c>
      <c r="D42" s="24">
        <v>0.7</v>
      </c>
      <c r="E42" s="24" cm="1">
        <f t="array" aca="1" ref="E42" ca="1">SUMPRODUCT(IF($B$5:$B$504&gt;D41,1,0),IF($B$5:$B$504&lt;=D42,1,0))</f>
        <v>15</v>
      </c>
      <c r="N42"/>
      <c r="O42"/>
    </row>
    <row r="43" spans="1:15" ht="14.6">
      <c r="A43" s="24">
        <v>39</v>
      </c>
      <c r="B43" s="25">
        <f ca="1">100*(sim!$C$3+NORMSINV(RAND())*sim!$C$4)</f>
        <v>2.9846382348877305</v>
      </c>
      <c r="D43" s="24">
        <v>0.8</v>
      </c>
      <c r="E43" s="24" cm="1">
        <f t="array" aca="1" ref="E43" ca="1">SUMPRODUCT(IF($B$5:$B$504&gt;D42,1,0),IF($B$5:$B$504&lt;=D43,1,0))</f>
        <v>7</v>
      </c>
      <c r="N43"/>
      <c r="O43"/>
    </row>
    <row r="44" spans="1:15" ht="14.6">
      <c r="A44" s="24">
        <v>40</v>
      </c>
      <c r="B44" s="25">
        <f ca="1">100*(sim!$C$3+NORMSINV(RAND())*sim!$C$4)</f>
        <v>2.4224189814864654</v>
      </c>
      <c r="D44" s="24">
        <v>0.9</v>
      </c>
      <c r="E44" s="24" cm="1">
        <f t="array" aca="1" ref="E44" ca="1">SUMPRODUCT(IF($B$5:$B$504&gt;D43,1,0),IF($B$5:$B$504&lt;=D44,1,0))</f>
        <v>10</v>
      </c>
      <c r="N44"/>
      <c r="O44"/>
    </row>
    <row r="45" spans="1:15" ht="14.6">
      <c r="A45" s="24">
        <v>41</v>
      </c>
      <c r="B45" s="25">
        <f ca="1">100*(sim!$C$3+NORMSINV(RAND())*sim!$C$4)</f>
        <v>1.995710938279216</v>
      </c>
      <c r="D45" s="24">
        <v>1</v>
      </c>
      <c r="E45" s="24" cm="1">
        <f t="array" aca="1" ref="E45" ca="1">SUMPRODUCT(IF($B$5:$B$504&gt;D44,1,0),IF($B$5:$B$504&lt;=D45,1,0))</f>
        <v>13</v>
      </c>
      <c r="N45"/>
      <c r="O45"/>
    </row>
    <row r="46" spans="1:15" ht="14.6">
      <c r="A46" s="24">
        <v>42</v>
      </c>
      <c r="B46" s="25">
        <f ca="1">100*(sim!$C$3+NORMSINV(RAND())*sim!$C$4)</f>
        <v>2.0806877599560956</v>
      </c>
      <c r="D46" s="24">
        <v>1.1000000000000001</v>
      </c>
      <c r="E46" s="24" cm="1">
        <f t="array" aca="1" ref="E46" ca="1">SUMPRODUCT(IF($B$5:$B$504&gt;D45,1,0),IF($B$5:$B$504&lt;=D46,1,0))</f>
        <v>10</v>
      </c>
      <c r="N46"/>
      <c r="O46"/>
    </row>
    <row r="47" spans="1:15" ht="14.6">
      <c r="A47" s="24">
        <v>43</v>
      </c>
      <c r="B47" s="25">
        <f ca="1">100*(sim!$C$3+NORMSINV(RAND())*sim!$C$4)</f>
        <v>1.3312415882188799</v>
      </c>
      <c r="D47" s="24">
        <v>1.2</v>
      </c>
      <c r="E47" s="24" cm="1">
        <f t="array" aca="1" ref="E47" ca="1">SUMPRODUCT(IF($B$5:$B$504&gt;D46,1,0),IF($B$5:$B$504&lt;=D47,1,0))</f>
        <v>12</v>
      </c>
      <c r="N47"/>
      <c r="O47"/>
    </row>
    <row r="48" spans="1:15" ht="14.6">
      <c r="A48" s="24">
        <v>44</v>
      </c>
      <c r="B48" s="25">
        <f ca="1">100*(sim!$C$3+NORMSINV(RAND())*sim!$C$4)</f>
        <v>1.3186190971262366</v>
      </c>
      <c r="D48" s="24">
        <v>1.3</v>
      </c>
      <c r="E48" s="24" cm="1">
        <f t="array" aca="1" ref="E48" ca="1">SUMPRODUCT(IF($B$5:$B$504&gt;D47,1,0),IF($B$5:$B$504&lt;=D48,1,0))</f>
        <v>15</v>
      </c>
      <c r="N48"/>
      <c r="O48"/>
    </row>
    <row r="49" spans="1:15" ht="14.6">
      <c r="A49" s="24">
        <v>45</v>
      </c>
      <c r="B49" s="25">
        <f ca="1">100*(sim!$C$3+NORMSINV(RAND())*sim!$C$4)</f>
        <v>1.8752097588196495</v>
      </c>
      <c r="D49" s="24">
        <v>1.4</v>
      </c>
      <c r="E49" s="24" cm="1">
        <f t="array" aca="1" ref="E49" ca="1">SUMPRODUCT(IF($B$5:$B$504&gt;D48,1,0),IF($B$5:$B$504&lt;=D49,1,0))</f>
        <v>14</v>
      </c>
      <c r="N49"/>
      <c r="O49"/>
    </row>
    <row r="50" spans="1:15" ht="14.6">
      <c r="A50" s="24">
        <v>46</v>
      </c>
      <c r="B50" s="25">
        <f ca="1">100*(sim!$C$3+NORMSINV(RAND())*sim!$C$4)</f>
        <v>0.73393299919154542</v>
      </c>
      <c r="D50" s="24">
        <v>1.5</v>
      </c>
      <c r="E50" s="24" cm="1">
        <f t="array" aca="1" ref="E50" ca="1">SUMPRODUCT(IF($B$5:$B$504&gt;D49,1,0),IF($B$5:$B$504&lt;=D50,1,0))</f>
        <v>12</v>
      </c>
      <c r="N50"/>
      <c r="O50"/>
    </row>
    <row r="51" spans="1:15" ht="14.6">
      <c r="A51" s="24">
        <v>47</v>
      </c>
      <c r="B51" s="25">
        <f ca="1">100*(sim!$C$3+NORMSINV(RAND())*sim!$C$4)</f>
        <v>0.65702990326777821</v>
      </c>
      <c r="D51" s="24">
        <v>1.6</v>
      </c>
      <c r="E51" s="24" cm="1">
        <f t="array" aca="1" ref="E51" ca="1">SUMPRODUCT(IF($B$5:$B$504&gt;D50,1,0),IF($B$5:$B$504&lt;=D51,1,0))</f>
        <v>19</v>
      </c>
      <c r="N51"/>
      <c r="O51"/>
    </row>
    <row r="52" spans="1:15" ht="14.6">
      <c r="A52" s="24">
        <v>48</v>
      </c>
      <c r="B52" s="25">
        <f ca="1">100*(sim!$C$3+NORMSINV(RAND())*sim!$C$4)</f>
        <v>0.9182953971869976</v>
      </c>
      <c r="D52" s="24">
        <v>1.7</v>
      </c>
      <c r="E52" s="24" cm="1">
        <f t="array" aca="1" ref="E52" ca="1">SUMPRODUCT(IF($B$5:$B$504&gt;D51,1,0),IF($B$5:$B$504&lt;=D52,1,0))</f>
        <v>19</v>
      </c>
      <c r="N52"/>
      <c r="O52"/>
    </row>
    <row r="53" spans="1:15" ht="14.6">
      <c r="A53" s="24">
        <v>49</v>
      </c>
      <c r="B53" s="25">
        <f ca="1">100*(sim!$C$3+NORMSINV(RAND())*sim!$C$4)</f>
        <v>1.3249850547577051</v>
      </c>
      <c r="D53" s="24">
        <v>1.8</v>
      </c>
      <c r="E53" s="24" cm="1">
        <f t="array" aca="1" ref="E53" ca="1">SUMPRODUCT(IF($B$5:$B$504&gt;D52,1,0),IF($B$5:$B$504&lt;=D53,1,0))</f>
        <v>18</v>
      </c>
      <c r="N53"/>
      <c r="O53"/>
    </row>
    <row r="54" spans="1:15" ht="14.6">
      <c r="A54" s="24">
        <v>50</v>
      </c>
      <c r="B54" s="25">
        <f ca="1">100*(sim!$C$3+NORMSINV(RAND())*sim!$C$4)</f>
        <v>1.9454503645649279</v>
      </c>
      <c r="D54" s="24">
        <v>1.9</v>
      </c>
      <c r="E54" s="24" cm="1">
        <f t="array" aca="1" ref="E54" ca="1">SUMPRODUCT(IF($B$5:$B$504&gt;D53,1,0),IF($B$5:$B$504&lt;=D54,1,0))</f>
        <v>25</v>
      </c>
      <c r="N54"/>
      <c r="O54"/>
    </row>
    <row r="55" spans="1:15" ht="14.6">
      <c r="A55" s="24">
        <v>51</v>
      </c>
      <c r="B55" s="25">
        <f ca="1">100*(sim!$C$3+NORMSINV(RAND())*sim!$C$4)</f>
        <v>1.9474372819113315</v>
      </c>
      <c r="D55" s="24">
        <v>2</v>
      </c>
      <c r="E55" s="24" cm="1">
        <f t="array" aca="1" ref="E55" ca="1">SUMPRODUCT(IF($B$5:$B$504&gt;D54,1,0),IF($B$5:$B$504&lt;=D55,1,0))</f>
        <v>18</v>
      </c>
      <c r="N55"/>
      <c r="O55"/>
    </row>
    <row r="56" spans="1:15" ht="14.6">
      <c r="A56" s="24">
        <v>52</v>
      </c>
      <c r="B56" s="25">
        <f ca="1">100*(sim!$C$3+NORMSINV(RAND())*sim!$C$4)</f>
        <v>1.0617496904171311</v>
      </c>
      <c r="D56" s="24">
        <v>2.1</v>
      </c>
      <c r="E56" s="24" cm="1">
        <f t="array" aca="1" ref="E56" ca="1">SUMPRODUCT(IF($B$5:$B$504&gt;D55,1,0),IF($B$5:$B$504&lt;=D56,1,0))</f>
        <v>14</v>
      </c>
      <c r="N56"/>
      <c r="O56"/>
    </row>
    <row r="57" spans="1:15" ht="14.6">
      <c r="A57" s="24">
        <v>53</v>
      </c>
      <c r="B57" s="25">
        <f ca="1">100*(sim!$C$3+NORMSINV(RAND())*sim!$C$4)</f>
        <v>2.3819488151652508</v>
      </c>
      <c r="D57" s="24">
        <v>2.2000000000000002</v>
      </c>
      <c r="E57" s="24" cm="1">
        <f t="array" aca="1" ref="E57" ca="1">SUMPRODUCT(IF($B$5:$B$504&gt;D56,1,0),IF($B$5:$B$504&lt;=D57,1,0))</f>
        <v>19</v>
      </c>
      <c r="N57"/>
      <c r="O57"/>
    </row>
    <row r="58" spans="1:15" ht="14.6">
      <c r="A58" s="24">
        <v>54</v>
      </c>
      <c r="B58" s="25">
        <f ca="1">100*(sim!$C$3+NORMSINV(RAND())*sim!$C$4)</f>
        <v>1.2531366554017227</v>
      </c>
      <c r="D58" s="24">
        <v>2.2999999999999998</v>
      </c>
      <c r="E58" s="24" cm="1">
        <f t="array" aca="1" ref="E58" ca="1">SUMPRODUCT(IF($B$5:$B$504&gt;D57,1,0),IF($B$5:$B$504&lt;=D58,1,0))</f>
        <v>20</v>
      </c>
      <c r="N58"/>
      <c r="O58"/>
    </row>
    <row r="59" spans="1:15" ht="14.6">
      <c r="A59" s="24">
        <v>55</v>
      </c>
      <c r="B59" s="25">
        <f ca="1">100*(sim!$C$3+NORMSINV(RAND())*sim!$C$4)</f>
        <v>2.8703886672019054</v>
      </c>
      <c r="D59" s="24">
        <v>2.4</v>
      </c>
      <c r="E59" s="24" cm="1">
        <f t="array" aca="1" ref="E59" ca="1">SUMPRODUCT(IF($B$5:$B$504&gt;D58,1,0),IF($B$5:$B$504&lt;=D59,1,0))</f>
        <v>23</v>
      </c>
      <c r="N59"/>
      <c r="O59"/>
    </row>
    <row r="60" spans="1:15" ht="14.6">
      <c r="A60" s="24">
        <v>56</v>
      </c>
      <c r="B60" s="25">
        <f ca="1">100*(sim!$C$3+NORMSINV(RAND())*sim!$C$4)</f>
        <v>1.2215704008636252</v>
      </c>
      <c r="D60" s="24">
        <v>2.5000000000000102</v>
      </c>
      <c r="E60" s="24" cm="1">
        <f t="array" aca="1" ref="E60" ca="1">SUMPRODUCT(IF($B$5:$B$504&gt;D59,1,0),IF($B$5:$B$504&lt;=D60,1,0))</f>
        <v>13</v>
      </c>
      <c r="N60"/>
      <c r="O60"/>
    </row>
    <row r="61" spans="1:15" ht="14.6">
      <c r="A61" s="24">
        <v>57</v>
      </c>
      <c r="B61" s="25">
        <f ca="1">100*(sim!$C$3+NORMSINV(RAND())*sim!$C$4)</f>
        <v>1.1646823816234024</v>
      </c>
      <c r="D61" s="24">
        <v>2.6</v>
      </c>
      <c r="E61" s="24" cm="1">
        <f t="array" aca="1" ref="E61" ca="1">SUMPRODUCT(IF($B$5:$B$504&gt;D60,1,0),IF($B$5:$B$504&lt;=D61,1,0))</f>
        <v>12</v>
      </c>
      <c r="N61"/>
      <c r="O61"/>
    </row>
    <row r="62" spans="1:15" ht="14.6">
      <c r="A62" s="24">
        <v>58</v>
      </c>
      <c r="B62" s="25">
        <f ca="1">100*(sim!$C$3+NORMSINV(RAND())*sim!$C$4)</f>
        <v>1.489822564105044</v>
      </c>
      <c r="D62" s="24">
        <v>2.7</v>
      </c>
      <c r="E62" s="24" cm="1">
        <f t="array" aca="1" ref="E62" ca="1">SUMPRODUCT(IF($B$5:$B$504&gt;D61,1,0),IF($B$5:$B$504&lt;=D62,1,0))</f>
        <v>17</v>
      </c>
      <c r="N62"/>
      <c r="O62"/>
    </row>
    <row r="63" spans="1:15" ht="14.6">
      <c r="A63" s="24">
        <v>59</v>
      </c>
      <c r="B63" s="25">
        <f ca="1">100*(sim!$C$3+NORMSINV(RAND())*sim!$C$4)</f>
        <v>0.10655732343041874</v>
      </c>
      <c r="D63" s="24">
        <v>2.80000000000001</v>
      </c>
      <c r="E63" s="24" cm="1">
        <f t="array" aca="1" ref="E63" ca="1">SUMPRODUCT(IF($B$5:$B$504&gt;D62,1,0),IF($B$5:$B$504&lt;=D63,1,0))</f>
        <v>20</v>
      </c>
      <c r="N63"/>
      <c r="O63"/>
    </row>
    <row r="64" spans="1:15" ht="14.6">
      <c r="A64" s="24">
        <v>60</v>
      </c>
      <c r="B64" s="25">
        <f ca="1">100*(sim!$C$3+NORMSINV(RAND())*sim!$C$4)</f>
        <v>-0.13999076002587824</v>
      </c>
      <c r="D64" s="24">
        <v>2.9000000000000101</v>
      </c>
      <c r="E64" s="24" cm="1">
        <f t="array" aca="1" ref="E64" ca="1">SUMPRODUCT(IF($B$5:$B$504&gt;D63,1,0),IF($B$5:$B$504&lt;=D64,1,0))</f>
        <v>12</v>
      </c>
      <c r="N64"/>
      <c r="O64"/>
    </row>
    <row r="65" spans="1:15" ht="14.6">
      <c r="A65" s="24">
        <v>61</v>
      </c>
      <c r="B65" s="25">
        <f ca="1">100*(sim!$C$3+NORMSINV(RAND())*sim!$C$4)</f>
        <v>0.6093585794797215</v>
      </c>
      <c r="D65" s="24">
        <v>3.0000000000000102</v>
      </c>
      <c r="E65" s="24" cm="1">
        <f t="array" aca="1" ref="E65" ca="1">SUMPRODUCT(IF($B$5:$B$504&gt;D64,1,0),IF($B$5:$B$504&lt;=D65,1,0))</f>
        <v>18</v>
      </c>
      <c r="N65"/>
      <c r="O65"/>
    </row>
    <row r="66" spans="1:15" ht="14.6">
      <c r="A66" s="24">
        <v>62</v>
      </c>
      <c r="B66" s="25">
        <f ca="1">100*(sim!$C$3+NORMSINV(RAND())*sim!$C$4)</f>
        <v>0.89178627071936412</v>
      </c>
      <c r="D66" s="24">
        <v>3.1</v>
      </c>
      <c r="E66" s="24" cm="1">
        <f t="array" aca="1" ref="E66" ca="1">SUMPRODUCT(IF($B$5:$B$504&gt;D65,1,0),IF($B$5:$B$504&lt;=D66,1,0))</f>
        <v>11</v>
      </c>
      <c r="N66"/>
      <c r="O66"/>
    </row>
    <row r="67" spans="1:15" ht="14.6">
      <c r="A67" s="24">
        <v>63</v>
      </c>
      <c r="B67" s="25">
        <f ca="1">100*(sim!$C$3+NORMSINV(RAND())*sim!$C$4)</f>
        <v>1.6410282646915371</v>
      </c>
      <c r="D67" s="24">
        <v>3.2000000000000099</v>
      </c>
      <c r="E67" s="24" cm="1">
        <f t="array" aca="1" ref="E67" ca="1">SUMPRODUCT(IF($B$5:$B$504&gt;D66,1,0),IF($B$5:$B$504&lt;=D67,1,0))</f>
        <v>13</v>
      </c>
      <c r="N67"/>
      <c r="O67"/>
    </row>
    <row r="68" spans="1:15" ht="14.6">
      <c r="A68" s="24">
        <v>64</v>
      </c>
      <c r="B68" s="25">
        <f ca="1">100*(sim!$C$3+NORMSINV(RAND())*sim!$C$4)</f>
        <v>0.73118171394694642</v>
      </c>
      <c r="D68" s="24">
        <v>3.30000000000001</v>
      </c>
      <c r="E68" s="24" cm="1">
        <f t="array" aca="1" ref="E68" ca="1">SUMPRODUCT(IF($B$5:$B$504&gt;D67,1,0),IF($B$5:$B$504&lt;=D68,1,0))</f>
        <v>8</v>
      </c>
      <c r="N68"/>
      <c r="O68"/>
    </row>
    <row r="69" spans="1:15" ht="14.6">
      <c r="A69" s="24">
        <v>65</v>
      </c>
      <c r="B69" s="25">
        <f ca="1">100*(sim!$C$3+NORMSINV(RAND())*sim!$C$4)</f>
        <v>1.0740411901775675</v>
      </c>
      <c r="D69" s="24">
        <v>3.4000000000000101</v>
      </c>
      <c r="E69" s="24" cm="1">
        <f t="array" aca="1" ref="E69" ca="1">SUMPRODUCT(IF($B$5:$B$504&gt;D68,1,0),IF($B$5:$B$504&lt;=D69,1,0))</f>
        <v>5</v>
      </c>
      <c r="N69"/>
      <c r="O69"/>
    </row>
    <row r="70" spans="1:15" ht="14.6">
      <c r="A70" s="24">
        <v>66</v>
      </c>
      <c r="B70" s="25">
        <f ca="1">100*(sim!$C$3+NORMSINV(RAND())*sim!$C$4)</f>
        <v>1.8383384988208851</v>
      </c>
      <c r="D70" s="24">
        <v>3.5000000000000102</v>
      </c>
      <c r="E70" s="24" cm="1">
        <f t="array" aca="1" ref="E70" ca="1">SUMPRODUCT(IF($B$5:$B$504&gt;D69,1,0),IF($B$5:$B$504&lt;=D70,1,0))</f>
        <v>8</v>
      </c>
      <c r="N70"/>
      <c r="O70"/>
    </row>
    <row r="71" spans="1:15" ht="14.6">
      <c r="A71" s="24">
        <v>67</v>
      </c>
      <c r="B71" s="25">
        <f ca="1">100*(sim!$C$3+NORMSINV(RAND())*sim!$C$4)</f>
        <v>3.1427681513256864</v>
      </c>
      <c r="D71" s="24">
        <v>3.6000000000000099</v>
      </c>
      <c r="E71" s="24" cm="1">
        <f t="array" aca="1" ref="E71" ca="1">SUMPRODUCT(IF($B$5:$B$504&gt;D70,1,0),IF($B$5:$B$504&lt;=D71,1,0))</f>
        <v>5</v>
      </c>
      <c r="N71"/>
      <c r="O71"/>
    </row>
    <row r="72" spans="1:15" ht="14.6">
      <c r="A72" s="24">
        <v>68</v>
      </c>
      <c r="B72" s="25">
        <f ca="1">100*(sim!$C$3+NORMSINV(RAND())*sim!$C$4)</f>
        <v>3.2214982801275176</v>
      </c>
      <c r="D72" s="24">
        <v>3.7000000000000099</v>
      </c>
      <c r="E72" s="24" cm="1">
        <f t="array" aca="1" ref="E72" ca="1">SUMPRODUCT(IF($B$5:$B$504&gt;D71,1,0),IF($B$5:$B$504&lt;=D72,1,0))</f>
        <v>5</v>
      </c>
      <c r="N72"/>
      <c r="O72"/>
    </row>
    <row r="73" spans="1:15" ht="14.6">
      <c r="A73" s="24">
        <v>69</v>
      </c>
      <c r="B73" s="25">
        <f ca="1">100*(sim!$C$3+NORMSINV(RAND())*sim!$C$4)</f>
        <v>3.5089793781264853</v>
      </c>
      <c r="D73" s="24">
        <v>3.80000000000001</v>
      </c>
      <c r="E73" s="24" cm="1">
        <f t="array" aca="1" ref="E73" ca="1">SUMPRODUCT(IF($B$5:$B$504&gt;D72,1,0),IF($B$5:$B$504&lt;=D73,1,0))</f>
        <v>5</v>
      </c>
      <c r="N73"/>
      <c r="O73"/>
    </row>
    <row r="74" spans="1:15" ht="14.6">
      <c r="A74" s="24">
        <v>70</v>
      </c>
      <c r="B74" s="25">
        <f ca="1">100*(sim!$C$3+NORMSINV(RAND())*sim!$C$4)</f>
        <v>1.8023062481459815</v>
      </c>
      <c r="D74" s="24">
        <v>3.9000000000000101</v>
      </c>
      <c r="E74" s="24" cm="1">
        <f t="array" aca="1" ref="E74" ca="1">SUMPRODUCT(IF($B$5:$B$504&gt;D73,1,0),IF($B$5:$B$504&lt;=D74,1,0))</f>
        <v>5</v>
      </c>
      <c r="N74"/>
      <c r="O74"/>
    </row>
    <row r="75" spans="1:15" ht="14.6">
      <c r="A75" s="24">
        <v>71</v>
      </c>
      <c r="B75" s="25">
        <f ca="1">100*(sim!$C$3+NORMSINV(RAND())*sim!$C$4)</f>
        <v>2.5727889825025509</v>
      </c>
      <c r="D75" s="24">
        <v>4.0000000000000098</v>
      </c>
      <c r="E75" s="24" cm="1">
        <f t="array" aca="1" ref="E75" ca="1">SUMPRODUCT(IF($B$5:$B$504&gt;D74,1,0),IF($B$5:$B$504&lt;=D75,1,0))</f>
        <v>5</v>
      </c>
      <c r="N75"/>
      <c r="O75"/>
    </row>
    <row r="76" spans="1:15" ht="14.6">
      <c r="A76" s="24">
        <v>72</v>
      </c>
      <c r="B76" s="25">
        <f ca="1">100*(sim!$C$3+NORMSINV(RAND())*sim!$C$4)</f>
        <v>1.134849776615579</v>
      </c>
      <c r="D76" s="24">
        <v>4.1000000000000103</v>
      </c>
      <c r="E76" s="24" cm="1">
        <f t="array" aca="1" ref="E76" ca="1">SUMPRODUCT(IF($B$5:$B$504&gt;D75,1,0),IF($B$5:$B$504&lt;=D76,1,0))</f>
        <v>4</v>
      </c>
      <c r="N76"/>
      <c r="O76"/>
    </row>
    <row r="77" spans="1:15" ht="14.6">
      <c r="A77" s="24">
        <v>73</v>
      </c>
      <c r="B77" s="25">
        <f ca="1">100*(sim!$C$3+NORMSINV(RAND())*sim!$C$4)</f>
        <v>0.98949244541338655</v>
      </c>
      <c r="D77" s="24">
        <v>4.2000000000000099</v>
      </c>
      <c r="E77" s="24" cm="1">
        <f t="array" aca="1" ref="E77" ca="1">SUMPRODUCT(IF($B$5:$B$504&gt;D76,1,0),IF($B$5:$B$504&lt;=D77,1,0))</f>
        <v>0</v>
      </c>
      <c r="N77"/>
      <c r="O77"/>
    </row>
    <row r="78" spans="1:15" ht="14.6">
      <c r="A78" s="24">
        <v>74</v>
      </c>
      <c r="B78" s="25">
        <f ca="1">100*(sim!$C$3+NORMSINV(RAND())*sim!$C$4)</f>
        <v>3.1174317016432678</v>
      </c>
      <c r="D78" s="24">
        <v>4.3000000000000096</v>
      </c>
      <c r="E78" s="24" cm="1">
        <f t="array" aca="1" ref="E78" ca="1">SUMPRODUCT(IF($B$5:$B$504&gt;D77,1,0),IF($B$5:$B$504&lt;=D78,1,0))</f>
        <v>0</v>
      </c>
      <c r="N78"/>
      <c r="O78"/>
    </row>
    <row r="79" spans="1:15" ht="14.6">
      <c r="A79" s="24">
        <v>75</v>
      </c>
      <c r="B79" s="25">
        <f ca="1">100*(sim!$C$3+NORMSINV(RAND())*sim!$C$4)</f>
        <v>2.7649737611043319</v>
      </c>
      <c r="D79" s="24">
        <v>4.4000000000000101</v>
      </c>
      <c r="E79" s="24" cm="1">
        <f t="array" aca="1" ref="E79" ca="1">SUMPRODUCT(IF($B$5:$B$504&gt;D78,1,0),IF($B$5:$B$504&lt;=D79,1,0))</f>
        <v>0</v>
      </c>
      <c r="N79"/>
      <c r="O79"/>
    </row>
    <row r="80" spans="1:15" ht="14.6">
      <c r="A80" s="24">
        <v>76</v>
      </c>
      <c r="B80" s="25">
        <f ca="1">100*(sim!$C$3+NORMSINV(RAND())*sim!$C$4)</f>
        <v>1.7330755741210773</v>
      </c>
      <c r="D80" s="24">
        <v>4.5000000000000098</v>
      </c>
      <c r="E80" s="24" cm="1">
        <f t="array" aca="1" ref="E80" ca="1">SUMPRODUCT(IF($B$5:$B$504&gt;D79,1,0),IF($B$5:$B$504&lt;=D80,1,0))</f>
        <v>0</v>
      </c>
      <c r="N80"/>
      <c r="O80"/>
    </row>
    <row r="81" spans="1:15" ht="14.6">
      <c r="A81" s="24">
        <v>77</v>
      </c>
      <c r="B81" s="25">
        <f ca="1">100*(sim!$C$3+NORMSINV(RAND())*sim!$C$4)</f>
        <v>1.7733188142100085</v>
      </c>
      <c r="D81" s="24">
        <v>4.6000000000000103</v>
      </c>
      <c r="E81" s="24" cm="1">
        <f t="array" aca="1" ref="E81" ca="1">SUMPRODUCT(IF($B$5:$B$504&gt;D80,1,0),IF($B$5:$B$504&lt;=D81,1,0))</f>
        <v>1</v>
      </c>
      <c r="N81"/>
      <c r="O81"/>
    </row>
    <row r="82" spans="1:15" ht="14.6">
      <c r="A82" s="24">
        <v>78</v>
      </c>
      <c r="B82" s="25">
        <f ca="1">100*(sim!$C$3+NORMSINV(RAND())*sim!$C$4)</f>
        <v>3.2338644178394271</v>
      </c>
      <c r="D82" s="24">
        <v>4.7000000000000099</v>
      </c>
      <c r="E82" s="24" cm="1">
        <f t="array" aca="1" ref="E82" ca="1">SUMPRODUCT(IF($B$5:$B$504&gt;D81,1,0),IF($B$5:$B$504&lt;=D82,1,0))</f>
        <v>1</v>
      </c>
      <c r="N82"/>
      <c r="O82"/>
    </row>
    <row r="83" spans="1:15" ht="14.6">
      <c r="A83" s="24">
        <v>79</v>
      </c>
      <c r="B83" s="25">
        <f ca="1">100*(sim!$C$3+NORMSINV(RAND())*sim!$C$4)</f>
        <v>1.8499324737635021</v>
      </c>
      <c r="D83" s="24">
        <v>4.8000000000000096</v>
      </c>
      <c r="E83" s="24" cm="1">
        <f t="array" aca="1" ref="E83" ca="1">SUMPRODUCT(IF($B$5:$B$504&gt;D82,1,0),IF($B$5:$B$504&lt;=D83,1,0))</f>
        <v>1</v>
      </c>
      <c r="N83"/>
      <c r="O83"/>
    </row>
    <row r="84" spans="1:15" ht="14.6">
      <c r="A84" s="24">
        <v>80</v>
      </c>
      <c r="B84" s="25">
        <f ca="1">100*(sim!$C$3+NORMSINV(RAND())*sim!$C$4)</f>
        <v>1.6183794336985573</v>
      </c>
      <c r="D84" s="24">
        <v>4.9000000000000101</v>
      </c>
      <c r="E84" s="24" cm="1">
        <f t="array" aca="1" ref="E84" ca="1">SUMPRODUCT(IF($B$5:$B$504&gt;D83,1,0),IF($B$5:$B$504&lt;=D84,1,0))</f>
        <v>2</v>
      </c>
      <c r="N84"/>
      <c r="O84"/>
    </row>
    <row r="85" spans="1:15" ht="14.6">
      <c r="A85" s="24">
        <v>81</v>
      </c>
      <c r="B85" s="25">
        <f ca="1">100*(sim!$C$3+NORMSINV(RAND())*sim!$C$4)</f>
        <v>2.3384432874455472</v>
      </c>
      <c r="D85" s="24">
        <v>5.0000000000000098</v>
      </c>
      <c r="E85" s="24" cm="1">
        <f t="array" aca="1" ref="E85" ca="1">SUMPRODUCT(IF($B$5:$B$504&gt;D84,1,0),IF($B$5:$B$504&lt;=D85,1,0))</f>
        <v>1</v>
      </c>
      <c r="N85"/>
      <c r="O85"/>
    </row>
    <row r="86" spans="1:15" ht="14.6">
      <c r="A86" s="24">
        <v>82</v>
      </c>
      <c r="B86" s="25">
        <f ca="1">100*(sim!$C$3+NORMSINV(RAND())*sim!$C$4)</f>
        <v>2.1102259992236347</v>
      </c>
      <c r="D86" s="24">
        <v>100</v>
      </c>
      <c r="E86" s="24" cm="1">
        <f t="array" aca="1" ref="E86" ca="1">SUMPRODUCT(IF($B$5:$B$504&gt;D85,1,0),IF($B$5:$B$504&lt;=D86,1,0))</f>
        <v>0</v>
      </c>
      <c r="N86"/>
      <c r="O86"/>
    </row>
    <row r="87" spans="1:15">
      <c r="A87" s="24">
        <v>83</v>
      </c>
      <c r="B87" s="25">
        <f ca="1">100*(sim!$C$3+NORMSINV(RAND())*sim!$C$4)</f>
        <v>2.6714891855478586</v>
      </c>
    </row>
    <row r="88" spans="1:15">
      <c r="A88" s="24">
        <v>84</v>
      </c>
      <c r="B88" s="25">
        <f ca="1">100*(sim!$C$3+NORMSINV(RAND())*sim!$C$4)</f>
        <v>1.8772432676668531</v>
      </c>
    </row>
    <row r="89" spans="1:15">
      <c r="A89" s="24">
        <v>85</v>
      </c>
      <c r="B89" s="25">
        <f ca="1">100*(sim!$C$3+NORMSINV(RAND())*sim!$C$4)</f>
        <v>2.820714847557138</v>
      </c>
    </row>
    <row r="90" spans="1:15">
      <c r="A90" s="24">
        <v>86</v>
      </c>
      <c r="B90" s="25">
        <f ca="1">100*(sim!$C$3+NORMSINV(RAND())*sim!$C$4)</f>
        <v>1.9849586721703234</v>
      </c>
    </row>
    <row r="91" spans="1:15">
      <c r="A91" s="24">
        <v>87</v>
      </c>
      <c r="B91" s="25">
        <f ca="1">100*(sim!$C$3+NORMSINV(RAND())*sim!$C$4)</f>
        <v>4.6967348957015593</v>
      </c>
    </row>
    <row r="92" spans="1:15">
      <c r="A92" s="24">
        <v>88</v>
      </c>
      <c r="B92" s="25">
        <f ca="1">100*(sim!$C$3+NORMSINV(RAND())*sim!$C$4)</f>
        <v>1.2778903378946063</v>
      </c>
    </row>
    <row r="93" spans="1:15">
      <c r="A93" s="24">
        <v>89</v>
      </c>
      <c r="B93" s="25">
        <f ca="1">100*(sim!$C$3+NORMSINV(RAND())*sim!$C$4)</f>
        <v>0.73026519350739305</v>
      </c>
    </row>
    <row r="94" spans="1:15">
      <c r="A94" s="24">
        <v>90</v>
      </c>
      <c r="B94" s="25">
        <f ca="1">100*(sim!$C$3+NORMSINV(RAND())*sim!$C$4)</f>
        <v>0.32236233305419149</v>
      </c>
    </row>
    <row r="95" spans="1:15">
      <c r="A95" s="24">
        <v>91</v>
      </c>
      <c r="B95" s="25">
        <f ca="1">100*(sim!$C$3+NORMSINV(RAND())*sim!$C$4)</f>
        <v>1.1988497376570797</v>
      </c>
    </row>
    <row r="96" spans="1:15">
      <c r="A96" s="24">
        <v>92</v>
      </c>
      <c r="B96" s="25">
        <f ca="1">100*(sim!$C$3+NORMSINV(RAND())*sim!$C$4)</f>
        <v>-8.1696275636845839E-2</v>
      </c>
    </row>
    <row r="97" spans="1:2">
      <c r="A97" s="24">
        <v>93</v>
      </c>
      <c r="B97" s="25">
        <f ca="1">100*(sim!$C$3+NORMSINV(RAND())*sim!$C$4)</f>
        <v>2.6254875585691999</v>
      </c>
    </row>
    <row r="98" spans="1:2">
      <c r="A98" s="24">
        <v>94</v>
      </c>
      <c r="B98" s="25">
        <f ca="1">100*(sim!$C$3+NORMSINV(RAND())*sim!$C$4)</f>
        <v>3.3409451113519664</v>
      </c>
    </row>
    <row r="99" spans="1:2">
      <c r="A99" s="24">
        <v>95</v>
      </c>
      <c r="B99" s="25">
        <f ca="1">100*(sim!$C$3+NORMSINV(RAND())*sim!$C$4)</f>
        <v>0.41184097851363793</v>
      </c>
    </row>
    <row r="100" spans="1:2">
      <c r="A100" s="24">
        <v>96</v>
      </c>
      <c r="B100" s="25">
        <f ca="1">100*(sim!$C$3+NORMSINV(RAND())*sim!$C$4)</f>
        <v>2.334859603477915</v>
      </c>
    </row>
    <row r="101" spans="1:2">
      <c r="A101" s="24">
        <v>97</v>
      </c>
      <c r="B101" s="25">
        <f ca="1">100*(sim!$C$3+NORMSINV(RAND())*sim!$C$4)</f>
        <v>2.703904815388865</v>
      </c>
    </row>
    <row r="102" spans="1:2">
      <c r="A102" s="24">
        <v>98</v>
      </c>
      <c r="B102" s="25">
        <f ca="1">100*(sim!$C$3+NORMSINV(RAND())*sim!$C$4)</f>
        <v>3.8880414250278577</v>
      </c>
    </row>
    <row r="103" spans="1:2">
      <c r="A103" s="24">
        <v>99</v>
      </c>
      <c r="B103" s="25">
        <f ca="1">100*(sim!$C$3+NORMSINV(RAND())*sim!$C$4)</f>
        <v>2.8694041424182393</v>
      </c>
    </row>
    <row r="104" spans="1:2">
      <c r="A104" s="24">
        <v>100</v>
      </c>
      <c r="B104" s="25">
        <f ca="1">100*(sim!$C$3+NORMSINV(RAND())*sim!$C$4)</f>
        <v>1.6942506526821226</v>
      </c>
    </row>
    <row r="105" spans="1:2">
      <c r="A105" s="24">
        <v>101</v>
      </c>
      <c r="B105" s="25">
        <f ca="1">100*(sim!$C$3+NORMSINV(RAND())*sim!$C$4)</f>
        <v>3.3867059244160433</v>
      </c>
    </row>
    <row r="106" spans="1:2">
      <c r="A106" s="24">
        <v>102</v>
      </c>
      <c r="B106" s="25">
        <f ca="1">100*(sim!$C$3+NORMSINV(RAND())*sim!$C$4)</f>
        <v>1.991568045429162</v>
      </c>
    </row>
    <row r="107" spans="1:2">
      <c r="A107" s="24">
        <v>103</v>
      </c>
      <c r="B107" s="25">
        <f ca="1">100*(sim!$C$3+NORMSINV(RAND())*sim!$C$4)</f>
        <v>1.8557089451772029</v>
      </c>
    </row>
    <row r="108" spans="1:2">
      <c r="A108" s="24">
        <v>104</v>
      </c>
      <c r="B108" s="25">
        <f ca="1">100*(sim!$C$3+NORMSINV(RAND())*sim!$C$4)</f>
        <v>0.69346736868571712</v>
      </c>
    </row>
    <row r="109" spans="1:2">
      <c r="A109" s="24">
        <v>105</v>
      </c>
      <c r="B109" s="25">
        <f ca="1">100*(sim!$C$3+NORMSINV(RAND())*sim!$C$4)</f>
        <v>2.9659993491085221</v>
      </c>
    </row>
    <row r="110" spans="1:2">
      <c r="A110" s="24">
        <v>106</v>
      </c>
      <c r="B110" s="25">
        <f ca="1">100*(sim!$C$3+NORMSINV(RAND())*sim!$C$4)</f>
        <v>0.65946499222918165</v>
      </c>
    </row>
    <row r="111" spans="1:2">
      <c r="A111" s="24">
        <v>107</v>
      </c>
      <c r="B111" s="25">
        <f ca="1">100*(sim!$C$3+NORMSINV(RAND())*sim!$C$4)</f>
        <v>1.4624149082314932</v>
      </c>
    </row>
    <row r="112" spans="1:2">
      <c r="A112" s="24">
        <v>108</v>
      </c>
      <c r="B112" s="25">
        <f ca="1">100*(sim!$C$3+NORMSINV(RAND())*sim!$C$4)</f>
        <v>4.0653458483487368</v>
      </c>
    </row>
    <row r="113" spans="1:2">
      <c r="A113" s="24">
        <v>109</v>
      </c>
      <c r="B113" s="25">
        <f ca="1">100*(sim!$C$3+NORMSINV(RAND())*sim!$C$4)</f>
        <v>1.6381490981754405</v>
      </c>
    </row>
    <row r="114" spans="1:2">
      <c r="A114" s="24">
        <v>110</v>
      </c>
      <c r="B114" s="25">
        <f ca="1">100*(sim!$C$3+NORMSINV(RAND())*sim!$C$4)</f>
        <v>3.0754085382652372</v>
      </c>
    </row>
    <row r="115" spans="1:2">
      <c r="A115" s="24">
        <v>111</v>
      </c>
      <c r="B115" s="25">
        <f ca="1">100*(sim!$C$3+NORMSINV(RAND())*sim!$C$4)</f>
        <v>2.4519603790101172</v>
      </c>
    </row>
    <row r="116" spans="1:2">
      <c r="A116" s="24">
        <v>112</v>
      </c>
      <c r="B116" s="25">
        <f ca="1">100*(sim!$C$3+NORMSINV(RAND())*sim!$C$4)</f>
        <v>0.41791383421320749</v>
      </c>
    </row>
    <row r="117" spans="1:2">
      <c r="A117" s="24">
        <v>113</v>
      </c>
      <c r="B117" s="25">
        <f ca="1">100*(sim!$C$3+NORMSINV(RAND())*sim!$C$4)</f>
        <v>4.7280081507069669</v>
      </c>
    </row>
    <row r="118" spans="1:2">
      <c r="A118" s="24">
        <v>114</v>
      </c>
      <c r="B118" s="25">
        <f ca="1">100*(sim!$C$3+NORMSINV(RAND())*sim!$C$4)</f>
        <v>3.1374584333467257</v>
      </c>
    </row>
    <row r="119" spans="1:2">
      <c r="A119" s="24">
        <v>115</v>
      </c>
      <c r="B119" s="25">
        <f ca="1">100*(sim!$C$3+NORMSINV(RAND())*sim!$C$4)</f>
        <v>0.16459444083073635</v>
      </c>
    </row>
    <row r="120" spans="1:2">
      <c r="A120" s="24">
        <v>116</v>
      </c>
      <c r="B120" s="25">
        <f ca="1">100*(sim!$C$3+NORMSINV(RAND())*sim!$C$4)</f>
        <v>-8.3834278958782801E-2</v>
      </c>
    </row>
    <row r="121" spans="1:2">
      <c r="A121" s="24">
        <v>117</v>
      </c>
      <c r="B121" s="25">
        <f ca="1">100*(sim!$C$3+NORMSINV(RAND())*sim!$C$4)</f>
        <v>2.9311879460794854</v>
      </c>
    </row>
    <row r="122" spans="1:2">
      <c r="A122" s="24">
        <v>118</v>
      </c>
      <c r="B122" s="25">
        <f ca="1">100*(sim!$C$3+NORMSINV(RAND())*sim!$C$4)</f>
        <v>0.12815681329666312</v>
      </c>
    </row>
    <row r="123" spans="1:2">
      <c r="A123" s="24">
        <v>119</v>
      </c>
      <c r="B123" s="25">
        <f ca="1">100*(sim!$C$3+NORMSINV(RAND())*sim!$C$4)</f>
        <v>3.0246222219292367</v>
      </c>
    </row>
    <row r="124" spans="1:2">
      <c r="A124" s="24">
        <v>120</v>
      </c>
      <c r="B124" s="25">
        <f ca="1">100*(sim!$C$3+NORMSINV(RAND())*sim!$C$4)</f>
        <v>1.7134205843109909</v>
      </c>
    </row>
    <row r="125" spans="1:2">
      <c r="A125" s="24">
        <v>121</v>
      </c>
      <c r="B125" s="25">
        <f ca="1">100*(sim!$C$3+NORMSINV(RAND())*sim!$C$4)</f>
        <v>1.465718961841876</v>
      </c>
    </row>
    <row r="126" spans="1:2">
      <c r="A126" s="24">
        <v>122</v>
      </c>
      <c r="B126" s="25">
        <f ca="1">100*(sim!$C$3+NORMSINV(RAND())*sim!$C$4)</f>
        <v>1.1673585087705471</v>
      </c>
    </row>
    <row r="127" spans="1:2">
      <c r="A127" s="24">
        <v>123</v>
      </c>
      <c r="B127" s="25">
        <f ca="1">100*(sim!$C$3+NORMSINV(RAND())*sim!$C$4)</f>
        <v>-1.5672584687452529E-3</v>
      </c>
    </row>
    <row r="128" spans="1:2">
      <c r="A128" s="24">
        <v>124</v>
      </c>
      <c r="B128" s="25">
        <f ca="1">100*(sim!$C$3+NORMSINV(RAND())*sim!$C$4)</f>
        <v>1.0436981440453823</v>
      </c>
    </row>
    <row r="129" spans="1:2">
      <c r="A129" s="24">
        <v>125</v>
      </c>
      <c r="B129" s="25">
        <f ca="1">100*(sim!$C$3+NORMSINV(RAND())*sim!$C$4)</f>
        <v>1.3927747488133695</v>
      </c>
    </row>
    <row r="130" spans="1:2">
      <c r="A130" s="24">
        <v>126</v>
      </c>
      <c r="B130" s="25">
        <f ca="1">100*(sim!$C$3+NORMSINV(RAND())*sim!$C$4)</f>
        <v>1.9514578533669593</v>
      </c>
    </row>
    <row r="131" spans="1:2">
      <c r="A131" s="24">
        <v>127</v>
      </c>
      <c r="B131" s="25">
        <f ca="1">100*(sim!$C$3+NORMSINV(RAND())*sim!$C$4)</f>
        <v>3.518156025248413</v>
      </c>
    </row>
    <row r="132" spans="1:2">
      <c r="A132" s="24">
        <v>128</v>
      </c>
      <c r="B132" s="25">
        <f ca="1">100*(sim!$C$3+NORMSINV(RAND())*sim!$C$4)</f>
        <v>1.1659759759363462</v>
      </c>
    </row>
    <row r="133" spans="1:2">
      <c r="A133" s="24">
        <v>129</v>
      </c>
      <c r="B133" s="25">
        <f ca="1">100*(sim!$C$3+NORMSINV(RAND())*sim!$C$4)</f>
        <v>2.1506065055250949</v>
      </c>
    </row>
    <row r="134" spans="1:2">
      <c r="A134" s="24">
        <v>130</v>
      </c>
      <c r="B134" s="25">
        <f ca="1">100*(sim!$C$3+NORMSINV(RAND())*sim!$C$4)</f>
        <v>3.3137788505817141</v>
      </c>
    </row>
    <row r="135" spans="1:2">
      <c r="A135" s="24">
        <v>131</v>
      </c>
      <c r="B135" s="25">
        <f ca="1">100*(sim!$C$3+NORMSINV(RAND())*sim!$C$4)</f>
        <v>3.4219166878975082</v>
      </c>
    </row>
    <row r="136" spans="1:2">
      <c r="A136" s="24">
        <v>132</v>
      </c>
      <c r="B136" s="25">
        <f ca="1">100*(sim!$C$3+NORMSINV(RAND())*sim!$C$4)</f>
        <v>2.4002104949810894</v>
      </c>
    </row>
    <row r="137" spans="1:2">
      <c r="A137" s="24">
        <v>133</v>
      </c>
      <c r="B137" s="25">
        <f ca="1">100*(sim!$C$3+NORMSINV(RAND())*sim!$C$4)</f>
        <v>1.4478442506873948</v>
      </c>
    </row>
    <row r="138" spans="1:2">
      <c r="A138" s="24">
        <v>134</v>
      </c>
      <c r="B138" s="25">
        <f ca="1">100*(sim!$C$3+NORMSINV(RAND())*sim!$C$4)</f>
        <v>4.874903758073355</v>
      </c>
    </row>
    <row r="139" spans="1:2">
      <c r="A139" s="24">
        <v>135</v>
      </c>
      <c r="B139" s="25">
        <f ca="1">100*(sim!$C$3+NORMSINV(RAND())*sim!$C$4)</f>
        <v>2.3893200797408571</v>
      </c>
    </row>
    <row r="140" spans="1:2">
      <c r="A140" s="24">
        <v>136</v>
      </c>
      <c r="B140" s="25">
        <f ca="1">100*(sim!$C$3+NORMSINV(RAND())*sim!$C$4)</f>
        <v>2.2450694264293802</v>
      </c>
    </row>
    <row r="141" spans="1:2">
      <c r="A141" s="24">
        <v>137</v>
      </c>
      <c r="B141" s="25">
        <f ca="1">100*(sim!$C$3+NORMSINV(RAND())*sim!$C$4)</f>
        <v>2.613468954740914</v>
      </c>
    </row>
    <row r="142" spans="1:2">
      <c r="A142" s="24">
        <v>138</v>
      </c>
      <c r="B142" s="25">
        <f ca="1">100*(sim!$C$3+NORMSINV(RAND())*sim!$C$4)</f>
        <v>1.5241515232856693</v>
      </c>
    </row>
    <row r="143" spans="1:2">
      <c r="A143" s="24">
        <v>139</v>
      </c>
      <c r="B143" s="25">
        <f ca="1">100*(sim!$C$3+NORMSINV(RAND())*sim!$C$4)</f>
        <v>2.3203551380609975</v>
      </c>
    </row>
    <row r="144" spans="1:2">
      <c r="A144" s="24">
        <v>140</v>
      </c>
      <c r="B144" s="25">
        <f ca="1">100*(sim!$C$3+NORMSINV(RAND())*sim!$C$4)</f>
        <v>2.3072808917109371</v>
      </c>
    </row>
    <row r="145" spans="1:2">
      <c r="A145" s="24">
        <v>141</v>
      </c>
      <c r="B145" s="25">
        <f ca="1">100*(sim!$C$3+NORMSINV(RAND())*sim!$C$4)</f>
        <v>1.7328103724091677</v>
      </c>
    </row>
    <row r="146" spans="1:2">
      <c r="A146" s="24">
        <v>142</v>
      </c>
      <c r="B146" s="25">
        <f ca="1">100*(sim!$C$3+NORMSINV(RAND())*sim!$C$4)</f>
        <v>0.24273554350411064</v>
      </c>
    </row>
    <row r="147" spans="1:2">
      <c r="A147" s="24">
        <v>143</v>
      </c>
      <c r="B147" s="25">
        <f ca="1">100*(sim!$C$3+NORMSINV(RAND())*sim!$C$4)</f>
        <v>2.3049723208578459</v>
      </c>
    </row>
    <row r="148" spans="1:2">
      <c r="A148" s="24">
        <v>144</v>
      </c>
      <c r="B148" s="25">
        <f ca="1">100*(sim!$C$3+NORMSINV(RAND())*sim!$C$4)</f>
        <v>1.7728727868821479</v>
      </c>
    </row>
    <row r="149" spans="1:2">
      <c r="A149" s="24">
        <v>145</v>
      </c>
      <c r="B149" s="25">
        <f ca="1">100*(sim!$C$3+NORMSINV(RAND())*sim!$C$4)</f>
        <v>1.7896402853166318</v>
      </c>
    </row>
    <row r="150" spans="1:2">
      <c r="A150" s="24">
        <v>146</v>
      </c>
      <c r="B150" s="25">
        <f ca="1">100*(sim!$C$3+NORMSINV(RAND())*sim!$C$4)</f>
        <v>3.2971183929021484</v>
      </c>
    </row>
    <row r="151" spans="1:2">
      <c r="A151" s="24">
        <v>147</v>
      </c>
      <c r="B151" s="25">
        <f ca="1">100*(sim!$C$3+NORMSINV(RAND())*sim!$C$4)</f>
        <v>0.74068986314850949</v>
      </c>
    </row>
    <row r="152" spans="1:2">
      <c r="A152" s="24">
        <v>148</v>
      </c>
      <c r="B152" s="25">
        <f ca="1">100*(sim!$C$3+NORMSINV(RAND())*sim!$C$4)</f>
        <v>1.35936635197291</v>
      </c>
    </row>
    <row r="153" spans="1:2">
      <c r="A153" s="24">
        <v>149</v>
      </c>
      <c r="B153" s="25">
        <f ca="1">100*(sim!$C$3+NORMSINV(RAND())*sim!$C$4)</f>
        <v>2.023064116227395</v>
      </c>
    </row>
    <row r="154" spans="1:2">
      <c r="A154" s="24">
        <v>150</v>
      </c>
      <c r="B154" s="25">
        <f ca="1">100*(sim!$C$3+NORMSINV(RAND())*sim!$C$4)</f>
        <v>2.2085884523774513</v>
      </c>
    </row>
    <row r="155" spans="1:2">
      <c r="A155" s="24">
        <v>151</v>
      </c>
      <c r="B155" s="25">
        <f ca="1">100*(sim!$C$3+NORMSINV(RAND())*sim!$C$4)</f>
        <v>2.1589622640399186</v>
      </c>
    </row>
    <row r="156" spans="1:2">
      <c r="A156" s="24">
        <v>152</v>
      </c>
      <c r="B156" s="25">
        <f ca="1">100*(sim!$C$3+NORMSINV(RAND())*sim!$C$4)</f>
        <v>1.4386600402038936</v>
      </c>
    </row>
    <row r="157" spans="1:2">
      <c r="A157" s="24">
        <v>153</v>
      </c>
      <c r="B157" s="25">
        <f ca="1">100*(sim!$C$3+NORMSINV(RAND())*sim!$C$4)</f>
        <v>2.3345305825069045</v>
      </c>
    </row>
    <row r="158" spans="1:2">
      <c r="A158" s="24">
        <v>154</v>
      </c>
      <c r="B158" s="25">
        <f ca="1">100*(sim!$C$3+NORMSINV(RAND())*sim!$C$4)</f>
        <v>3.1977923500684722</v>
      </c>
    </row>
    <row r="159" spans="1:2">
      <c r="A159" s="24">
        <v>155</v>
      </c>
      <c r="B159" s="25">
        <f ca="1">100*(sim!$C$3+NORMSINV(RAND())*sim!$C$4)</f>
        <v>2.6125714460479421</v>
      </c>
    </row>
    <row r="160" spans="1:2">
      <c r="A160" s="24">
        <v>156</v>
      </c>
      <c r="B160" s="25">
        <f ca="1">100*(sim!$C$3+NORMSINV(RAND())*sim!$C$4)</f>
        <v>3.7661059023565118</v>
      </c>
    </row>
    <row r="161" spans="1:2">
      <c r="A161" s="24">
        <v>157</v>
      </c>
      <c r="B161" s="25">
        <f ca="1">100*(sim!$C$3+NORMSINV(RAND())*sim!$C$4)</f>
        <v>1.5063318370444567</v>
      </c>
    </row>
    <row r="162" spans="1:2">
      <c r="A162" s="24">
        <v>158</v>
      </c>
      <c r="B162" s="25">
        <f ca="1">100*(sim!$C$3+NORMSINV(RAND())*sim!$C$4)</f>
        <v>2.2422949324364061</v>
      </c>
    </row>
    <row r="163" spans="1:2">
      <c r="A163" s="24">
        <v>159</v>
      </c>
      <c r="B163" s="25">
        <f ca="1">100*(sim!$C$3+NORMSINV(RAND())*sim!$C$4)</f>
        <v>1.5280610542508615</v>
      </c>
    </row>
    <row r="164" spans="1:2">
      <c r="A164" s="24">
        <v>160</v>
      </c>
      <c r="B164" s="25">
        <f ca="1">100*(sim!$C$3+NORMSINV(RAND())*sim!$C$4)</f>
        <v>1.4753594885391821</v>
      </c>
    </row>
    <row r="165" spans="1:2">
      <c r="A165" s="24">
        <v>161</v>
      </c>
      <c r="B165" s="25">
        <f ca="1">100*(sim!$C$3+NORMSINV(RAND())*sim!$C$4)</f>
        <v>2.4001827979188461</v>
      </c>
    </row>
    <row r="166" spans="1:2">
      <c r="A166" s="24">
        <v>162</v>
      </c>
      <c r="B166" s="25">
        <f ca="1">100*(sim!$C$3+NORMSINV(RAND())*sim!$C$4)</f>
        <v>1.5620407659007847</v>
      </c>
    </row>
    <row r="167" spans="1:2">
      <c r="A167" s="24">
        <v>163</v>
      </c>
      <c r="B167" s="25">
        <f ca="1">100*(sim!$C$3+NORMSINV(RAND())*sim!$C$4)</f>
        <v>1.8001785001113175</v>
      </c>
    </row>
    <row r="168" spans="1:2">
      <c r="A168" s="24">
        <v>164</v>
      </c>
      <c r="B168" s="25">
        <f ca="1">100*(sim!$C$3+NORMSINV(RAND())*sim!$C$4)</f>
        <v>2.1413692161344353</v>
      </c>
    </row>
    <row r="169" spans="1:2">
      <c r="A169" s="24">
        <v>165</v>
      </c>
      <c r="B169" s="25">
        <f ca="1">100*(sim!$C$3+NORMSINV(RAND())*sim!$C$4)</f>
        <v>2.3831807599649446</v>
      </c>
    </row>
    <row r="170" spans="1:2">
      <c r="A170" s="24">
        <v>166</v>
      </c>
      <c r="B170" s="25">
        <f ca="1">100*(sim!$C$3+NORMSINV(RAND())*sim!$C$4)</f>
        <v>1.5266557435653312</v>
      </c>
    </row>
    <row r="171" spans="1:2">
      <c r="A171" s="24">
        <v>167</v>
      </c>
      <c r="B171" s="25">
        <f ca="1">100*(sim!$C$3+NORMSINV(RAND())*sim!$C$4)</f>
        <v>1.3664713541161859</v>
      </c>
    </row>
    <row r="172" spans="1:2">
      <c r="A172" s="24">
        <v>168</v>
      </c>
      <c r="B172" s="25">
        <f ca="1">100*(sim!$C$3+NORMSINV(RAND())*sim!$C$4)</f>
        <v>2.0154297255618117</v>
      </c>
    </row>
    <row r="173" spans="1:2">
      <c r="A173" s="24">
        <v>169</v>
      </c>
      <c r="B173" s="25">
        <f ca="1">100*(sim!$C$3+NORMSINV(RAND())*sim!$C$4)</f>
        <v>2.8323605323703176</v>
      </c>
    </row>
    <row r="174" spans="1:2">
      <c r="A174" s="24">
        <v>170</v>
      </c>
      <c r="B174" s="25">
        <f ca="1">100*(sim!$C$3+NORMSINV(RAND())*sim!$C$4)</f>
        <v>-1.9985732134231854E-3</v>
      </c>
    </row>
    <row r="175" spans="1:2">
      <c r="A175" s="24">
        <v>171</v>
      </c>
      <c r="B175" s="25">
        <f ca="1">100*(sim!$C$3+NORMSINV(RAND())*sim!$C$4)</f>
        <v>2.8633531399932854</v>
      </c>
    </row>
    <row r="176" spans="1:2">
      <c r="A176" s="24">
        <v>172</v>
      </c>
      <c r="B176" s="25">
        <f ca="1">100*(sim!$C$3+NORMSINV(RAND())*sim!$C$4)</f>
        <v>0.92013079471483983</v>
      </c>
    </row>
    <row r="177" spans="1:2">
      <c r="A177" s="24">
        <v>173</v>
      </c>
      <c r="B177" s="25">
        <f ca="1">100*(sim!$C$3+NORMSINV(RAND())*sim!$C$4)</f>
        <v>2.1981175639936628</v>
      </c>
    </row>
    <row r="178" spans="1:2">
      <c r="A178" s="24">
        <v>174</v>
      </c>
      <c r="B178" s="25">
        <f ca="1">100*(sim!$C$3+NORMSINV(RAND())*sim!$C$4)</f>
        <v>3.3195059175061896</v>
      </c>
    </row>
    <row r="179" spans="1:2">
      <c r="A179" s="24">
        <v>175</v>
      </c>
      <c r="B179" s="25">
        <f ca="1">100*(sim!$C$3+NORMSINV(RAND())*sim!$C$4)</f>
        <v>2.5035785804618285</v>
      </c>
    </row>
    <row r="180" spans="1:2">
      <c r="A180" s="24">
        <v>176</v>
      </c>
      <c r="B180" s="25">
        <f ca="1">100*(sim!$C$3+NORMSINV(RAND())*sim!$C$4)</f>
        <v>-0.52836339013848865</v>
      </c>
    </row>
    <row r="181" spans="1:2">
      <c r="A181" s="24">
        <v>177</v>
      </c>
      <c r="B181" s="25">
        <f ca="1">100*(sim!$C$3+NORMSINV(RAND())*sim!$C$4)</f>
        <v>2.4287050744738901</v>
      </c>
    </row>
    <row r="182" spans="1:2">
      <c r="A182" s="24">
        <v>178</v>
      </c>
      <c r="B182" s="25">
        <f ca="1">100*(sim!$C$3+NORMSINV(RAND())*sim!$C$4)</f>
        <v>1.3779474267680243</v>
      </c>
    </row>
    <row r="183" spans="1:2">
      <c r="A183" s="24">
        <v>179</v>
      </c>
      <c r="B183" s="25">
        <f ca="1">100*(sim!$C$3+NORMSINV(RAND())*sim!$C$4)</f>
        <v>1.6434847465475835</v>
      </c>
    </row>
    <row r="184" spans="1:2">
      <c r="A184" s="24">
        <v>180</v>
      </c>
      <c r="B184" s="25">
        <f ca="1">100*(sim!$C$3+NORMSINV(RAND())*sim!$C$4)</f>
        <v>0.55408651518502106</v>
      </c>
    </row>
    <row r="185" spans="1:2">
      <c r="A185" s="24">
        <v>181</v>
      </c>
      <c r="B185" s="25">
        <f ca="1">100*(sim!$C$3+NORMSINV(RAND())*sim!$C$4)</f>
        <v>1.8268829712163315</v>
      </c>
    </row>
    <row r="186" spans="1:2">
      <c r="A186" s="24">
        <v>182</v>
      </c>
      <c r="B186" s="25">
        <f ca="1">100*(sim!$C$3+NORMSINV(RAND())*sim!$C$4)</f>
        <v>2.6961565936002723</v>
      </c>
    </row>
    <row r="187" spans="1:2">
      <c r="A187" s="24">
        <v>183</v>
      </c>
      <c r="B187" s="25">
        <f ca="1">100*(sim!$C$3+NORMSINV(RAND())*sim!$C$4)</f>
        <v>1.4665382390792532</v>
      </c>
    </row>
    <row r="188" spans="1:2">
      <c r="A188" s="24">
        <v>184</v>
      </c>
      <c r="B188" s="25">
        <f ca="1">100*(sim!$C$3+NORMSINV(RAND())*sim!$C$4)</f>
        <v>2.2517353531615671</v>
      </c>
    </row>
    <row r="189" spans="1:2">
      <c r="A189" s="24">
        <v>185</v>
      </c>
      <c r="B189" s="25">
        <f ca="1">100*(sim!$C$3+NORMSINV(RAND())*sim!$C$4)</f>
        <v>1.2677295027333828</v>
      </c>
    </row>
    <row r="190" spans="1:2">
      <c r="A190" s="24">
        <v>186</v>
      </c>
      <c r="B190" s="25">
        <f ca="1">100*(sim!$C$3+NORMSINV(RAND())*sim!$C$4)</f>
        <v>1.1936238112905961</v>
      </c>
    </row>
    <row r="191" spans="1:2">
      <c r="A191" s="24">
        <v>187</v>
      </c>
      <c r="B191" s="25">
        <f ca="1">100*(sim!$C$3+NORMSINV(RAND())*sim!$C$4)</f>
        <v>2.2904261862869619</v>
      </c>
    </row>
    <row r="192" spans="1:2">
      <c r="A192" s="24">
        <v>188</v>
      </c>
      <c r="B192" s="25">
        <f ca="1">100*(sim!$C$3+NORMSINV(RAND())*sim!$C$4)</f>
        <v>1.2772501495211925</v>
      </c>
    </row>
    <row r="193" spans="1:2">
      <c r="A193" s="24">
        <v>189</v>
      </c>
      <c r="B193" s="25">
        <f ca="1">100*(sim!$C$3+NORMSINV(RAND())*sim!$C$4)</f>
        <v>1.396162145213381</v>
      </c>
    </row>
    <row r="194" spans="1:2">
      <c r="A194" s="24">
        <v>190</v>
      </c>
      <c r="B194" s="25">
        <f ca="1">100*(sim!$C$3+NORMSINV(RAND())*sim!$C$4)</f>
        <v>3.7782206138837733</v>
      </c>
    </row>
    <row r="195" spans="1:2">
      <c r="A195" s="24">
        <v>191</v>
      </c>
      <c r="B195" s="25">
        <f ca="1">100*(sim!$C$3+NORMSINV(RAND())*sim!$C$4)</f>
        <v>2.5885496002525983</v>
      </c>
    </row>
    <row r="196" spans="1:2">
      <c r="A196" s="24">
        <v>192</v>
      </c>
      <c r="B196" s="25">
        <f ca="1">100*(sim!$C$3+NORMSINV(RAND())*sim!$C$4)</f>
        <v>1.0003124375651076</v>
      </c>
    </row>
    <row r="197" spans="1:2">
      <c r="A197" s="24">
        <v>193</v>
      </c>
      <c r="B197" s="25">
        <f ca="1">100*(sim!$C$3+NORMSINV(RAND())*sim!$C$4)</f>
        <v>0.89981361904208756</v>
      </c>
    </row>
    <row r="198" spans="1:2">
      <c r="A198" s="24">
        <v>194</v>
      </c>
      <c r="B198" s="25">
        <f ca="1">100*(sim!$C$3+NORMSINV(RAND())*sim!$C$4)</f>
        <v>1.9974528903224191</v>
      </c>
    </row>
    <row r="199" spans="1:2">
      <c r="A199" s="24">
        <v>195</v>
      </c>
      <c r="B199" s="25">
        <f ca="1">100*(sim!$C$3+NORMSINV(RAND())*sim!$C$4)</f>
        <v>2.3344308535006912</v>
      </c>
    </row>
    <row r="200" spans="1:2">
      <c r="A200" s="24">
        <v>196</v>
      </c>
      <c r="B200" s="25">
        <f ca="1">100*(sim!$C$3+NORMSINV(RAND())*sim!$C$4)</f>
        <v>3.26287940788229</v>
      </c>
    </row>
    <row r="201" spans="1:2">
      <c r="A201" s="24">
        <v>197</v>
      </c>
      <c r="B201" s="25">
        <f ca="1">100*(sim!$C$3+NORMSINV(RAND())*sim!$C$4)</f>
        <v>0.87100739259422522</v>
      </c>
    </row>
    <row r="202" spans="1:2">
      <c r="A202" s="24">
        <v>198</v>
      </c>
      <c r="B202" s="25">
        <f ca="1">100*(sim!$C$3+NORMSINV(RAND())*sim!$C$4)</f>
        <v>2.7381192968419104</v>
      </c>
    </row>
    <row r="203" spans="1:2">
      <c r="A203" s="24">
        <v>199</v>
      </c>
      <c r="B203" s="25">
        <f ca="1">100*(sim!$C$3+NORMSINV(RAND())*sim!$C$4)</f>
        <v>2.2447201452345897</v>
      </c>
    </row>
    <row r="204" spans="1:2">
      <c r="A204" s="24">
        <v>200</v>
      </c>
      <c r="B204" s="25">
        <f ca="1">100*(sim!$C$3+NORMSINV(RAND())*sim!$C$4)</f>
        <v>2.9398925308935682</v>
      </c>
    </row>
    <row r="205" spans="1:2">
      <c r="A205" s="24">
        <v>201</v>
      </c>
      <c r="B205" s="25">
        <f ca="1">100*(sim!$C$3+NORMSINV(RAND())*sim!$C$4)</f>
        <v>2.3755910435645236</v>
      </c>
    </row>
    <row r="206" spans="1:2">
      <c r="A206" s="24">
        <v>202</v>
      </c>
      <c r="B206" s="25">
        <f ca="1">100*(sim!$C$3+NORMSINV(RAND())*sim!$C$4)</f>
        <v>0.29117819967554059</v>
      </c>
    </row>
    <row r="207" spans="1:2">
      <c r="A207" s="24">
        <v>203</v>
      </c>
      <c r="B207" s="25">
        <f ca="1">100*(sim!$C$3+NORMSINV(RAND())*sim!$C$4)</f>
        <v>2.2353056017298925</v>
      </c>
    </row>
    <row r="208" spans="1:2">
      <c r="A208" s="24">
        <v>204</v>
      </c>
      <c r="B208" s="25">
        <f ca="1">100*(sim!$C$3+NORMSINV(RAND())*sim!$C$4)</f>
        <v>1.8504018932945048</v>
      </c>
    </row>
    <row r="209" spans="1:2">
      <c r="A209" s="24">
        <v>205</v>
      </c>
      <c r="B209" s="25">
        <f ca="1">100*(sim!$C$3+NORMSINV(RAND())*sim!$C$4)</f>
        <v>2.0797062349150486</v>
      </c>
    </row>
    <row r="210" spans="1:2">
      <c r="A210" s="24">
        <v>206</v>
      </c>
      <c r="B210" s="25">
        <f ca="1">100*(sim!$C$3+NORMSINV(RAND())*sim!$C$4)</f>
        <v>2.7432553000910112</v>
      </c>
    </row>
    <row r="211" spans="1:2">
      <c r="A211" s="24">
        <v>207</v>
      </c>
      <c r="B211" s="25">
        <f ca="1">100*(sim!$C$3+NORMSINV(RAND())*sim!$C$4)</f>
        <v>3.1413882329377114</v>
      </c>
    </row>
    <row r="212" spans="1:2">
      <c r="A212" s="24">
        <v>208</v>
      </c>
      <c r="B212" s="25">
        <f ca="1">100*(sim!$C$3+NORMSINV(RAND())*sim!$C$4)</f>
        <v>3.4465769728692197</v>
      </c>
    </row>
    <row r="213" spans="1:2">
      <c r="A213" s="24">
        <v>209</v>
      </c>
      <c r="B213" s="25">
        <f ca="1">100*(sim!$C$3+NORMSINV(RAND())*sim!$C$4)</f>
        <v>1.5409930721717631</v>
      </c>
    </row>
    <row r="214" spans="1:2">
      <c r="A214" s="24">
        <v>210</v>
      </c>
      <c r="B214" s="25">
        <f ca="1">100*(sim!$C$3+NORMSINV(RAND())*sim!$C$4)</f>
        <v>2.186436904749145</v>
      </c>
    </row>
    <row r="215" spans="1:2">
      <c r="A215" s="24">
        <v>211</v>
      </c>
      <c r="B215" s="25">
        <f ca="1">100*(sim!$C$3+NORMSINV(RAND())*sim!$C$4)</f>
        <v>1.7172529213450014</v>
      </c>
    </row>
    <row r="216" spans="1:2">
      <c r="A216" s="24">
        <v>212</v>
      </c>
      <c r="B216" s="25">
        <f ca="1">100*(sim!$C$3+NORMSINV(RAND())*sim!$C$4)</f>
        <v>1.5431181392511737</v>
      </c>
    </row>
    <row r="217" spans="1:2">
      <c r="A217" s="24">
        <v>213</v>
      </c>
      <c r="B217" s="25">
        <f ca="1">100*(sim!$C$3+NORMSINV(RAND())*sim!$C$4)</f>
        <v>2.9627919907001039</v>
      </c>
    </row>
    <row r="218" spans="1:2">
      <c r="A218" s="24">
        <v>214</v>
      </c>
      <c r="B218" s="25">
        <f ca="1">100*(sim!$C$3+NORMSINV(RAND())*sim!$C$4)</f>
        <v>2.7782230375178378</v>
      </c>
    </row>
    <row r="219" spans="1:2">
      <c r="A219" s="24">
        <v>215</v>
      </c>
      <c r="B219" s="25">
        <f ca="1">100*(sim!$C$3+NORMSINV(RAND())*sim!$C$4)</f>
        <v>2.221718514624579</v>
      </c>
    </row>
    <row r="220" spans="1:2">
      <c r="A220" s="24">
        <v>216</v>
      </c>
      <c r="B220" s="25">
        <f ca="1">100*(sim!$C$3+NORMSINV(RAND())*sim!$C$4)</f>
        <v>3.6298366690581658</v>
      </c>
    </row>
    <row r="221" spans="1:2">
      <c r="A221" s="24">
        <v>217</v>
      </c>
      <c r="B221" s="25">
        <f ca="1">100*(sim!$C$3+NORMSINV(RAND())*sim!$C$4)</f>
        <v>0.34503282446847089</v>
      </c>
    </row>
    <row r="222" spans="1:2">
      <c r="A222" s="24">
        <v>218</v>
      </c>
      <c r="B222" s="25">
        <f ca="1">100*(sim!$C$3+NORMSINV(RAND())*sim!$C$4)</f>
        <v>0.9236594657907975</v>
      </c>
    </row>
    <row r="223" spans="1:2">
      <c r="A223" s="24">
        <v>219</v>
      </c>
      <c r="B223" s="25">
        <f ca="1">100*(sim!$C$3+NORMSINV(RAND())*sim!$C$4)</f>
        <v>2.87742823149302</v>
      </c>
    </row>
    <row r="224" spans="1:2">
      <c r="A224" s="24">
        <v>220</v>
      </c>
      <c r="B224" s="25">
        <f ca="1">100*(sim!$C$3+NORMSINV(RAND())*sim!$C$4)</f>
        <v>0.57399408223506998</v>
      </c>
    </row>
    <row r="225" spans="1:2">
      <c r="A225" s="24">
        <v>221</v>
      </c>
      <c r="B225" s="25">
        <f ca="1">100*(sim!$C$3+NORMSINV(RAND())*sim!$C$4)</f>
        <v>1.3451968015022051</v>
      </c>
    </row>
    <row r="226" spans="1:2">
      <c r="A226" s="24">
        <v>222</v>
      </c>
      <c r="B226" s="25">
        <f ca="1">100*(sim!$C$3+NORMSINV(RAND())*sim!$C$4)</f>
        <v>1.8119530907321084</v>
      </c>
    </row>
    <row r="227" spans="1:2">
      <c r="A227" s="24">
        <v>223</v>
      </c>
      <c r="B227" s="25">
        <f ca="1">100*(sim!$C$3+NORMSINV(RAND())*sim!$C$4)</f>
        <v>2.7011121117932211</v>
      </c>
    </row>
    <row r="228" spans="1:2">
      <c r="A228" s="24">
        <v>224</v>
      </c>
      <c r="B228" s="25">
        <f ca="1">100*(sim!$C$3+NORMSINV(RAND())*sim!$C$4)</f>
        <v>2.7243557868056416</v>
      </c>
    </row>
    <row r="229" spans="1:2">
      <c r="A229" s="24">
        <v>225</v>
      </c>
      <c r="B229" s="25">
        <f ca="1">100*(sim!$C$3+NORMSINV(RAND())*sim!$C$4)</f>
        <v>1.6715090798870471</v>
      </c>
    </row>
    <row r="230" spans="1:2">
      <c r="A230" s="24">
        <v>226</v>
      </c>
      <c r="B230" s="25">
        <f ca="1">100*(sim!$C$3+NORMSINV(RAND())*sim!$C$4)</f>
        <v>0.73247066086533663</v>
      </c>
    </row>
    <row r="231" spans="1:2">
      <c r="A231" s="24">
        <v>227</v>
      </c>
      <c r="B231" s="25">
        <f ca="1">100*(sim!$C$3+NORMSINV(RAND())*sim!$C$4)</f>
        <v>2.1114417628657765</v>
      </c>
    </row>
    <row r="232" spans="1:2">
      <c r="A232" s="24">
        <v>228</v>
      </c>
      <c r="B232" s="25">
        <f ca="1">100*(sim!$C$3+NORMSINV(RAND())*sim!$C$4)</f>
        <v>2.7639688676226482</v>
      </c>
    </row>
    <row r="233" spans="1:2">
      <c r="A233" s="24">
        <v>229</v>
      </c>
      <c r="B233" s="25">
        <f ca="1">100*(sim!$C$3+NORMSINV(RAND())*sim!$C$4)</f>
        <v>2.3013790645592</v>
      </c>
    </row>
    <row r="234" spans="1:2">
      <c r="A234" s="24">
        <v>230</v>
      </c>
      <c r="B234" s="25">
        <f ca="1">100*(sim!$C$3+NORMSINV(RAND())*sim!$C$4)</f>
        <v>1.5521890379260745</v>
      </c>
    </row>
    <row r="235" spans="1:2">
      <c r="A235" s="24">
        <v>231</v>
      </c>
      <c r="B235" s="25">
        <f ca="1">100*(sim!$C$3+NORMSINV(RAND())*sim!$C$4)</f>
        <v>1.3191718350224351</v>
      </c>
    </row>
    <row r="236" spans="1:2">
      <c r="A236" s="24">
        <v>232</v>
      </c>
      <c r="B236" s="25">
        <f ca="1">100*(sim!$C$3+NORMSINV(RAND())*sim!$C$4)</f>
        <v>1.588521392768387</v>
      </c>
    </row>
    <row r="237" spans="1:2">
      <c r="A237" s="24">
        <v>233</v>
      </c>
      <c r="B237" s="25">
        <f ca="1">100*(sim!$C$3+NORMSINV(RAND())*sim!$C$4)</f>
        <v>0.98931146026130046</v>
      </c>
    </row>
    <row r="238" spans="1:2">
      <c r="A238" s="24">
        <v>234</v>
      </c>
      <c r="B238" s="25">
        <f ca="1">100*(sim!$C$3+NORMSINV(RAND())*sim!$C$4)</f>
        <v>4.5586418792268741</v>
      </c>
    </row>
    <row r="239" spans="1:2">
      <c r="A239" s="24">
        <v>235</v>
      </c>
      <c r="B239" s="25">
        <f ca="1">100*(sim!$C$3+NORMSINV(RAND())*sim!$C$4)</f>
        <v>1.6311236186769755</v>
      </c>
    </row>
    <row r="240" spans="1:2">
      <c r="A240" s="24">
        <v>236</v>
      </c>
      <c r="B240" s="25">
        <f ca="1">100*(sim!$C$3+NORMSINV(RAND())*sim!$C$4)</f>
        <v>1.8529359118630184</v>
      </c>
    </row>
    <row r="241" spans="1:2">
      <c r="A241" s="24">
        <v>237</v>
      </c>
      <c r="B241" s="25">
        <f ca="1">100*(sim!$C$3+NORMSINV(RAND())*sim!$C$4)</f>
        <v>0.53917070500481734</v>
      </c>
    </row>
    <row r="242" spans="1:2">
      <c r="A242" s="24">
        <v>238</v>
      </c>
      <c r="B242" s="25">
        <f ca="1">100*(sim!$C$3+NORMSINV(RAND())*sim!$C$4)</f>
        <v>-0.16291568641281334</v>
      </c>
    </row>
    <row r="243" spans="1:2">
      <c r="A243" s="24">
        <v>239</v>
      </c>
      <c r="B243" s="25">
        <f ca="1">100*(sim!$C$3+NORMSINV(RAND())*sim!$C$4)</f>
        <v>1.3594489266630279</v>
      </c>
    </row>
    <row r="244" spans="1:2">
      <c r="A244" s="24">
        <v>240</v>
      </c>
      <c r="B244" s="25">
        <f ca="1">100*(sim!$C$3+NORMSINV(RAND())*sim!$C$4)</f>
        <v>2.1074368087548674</v>
      </c>
    </row>
    <row r="245" spans="1:2">
      <c r="A245" s="24">
        <v>241</v>
      </c>
      <c r="B245" s="25">
        <f ca="1">100*(sim!$C$3+NORMSINV(RAND())*sim!$C$4)</f>
        <v>2.335843584692129</v>
      </c>
    </row>
    <row r="246" spans="1:2">
      <c r="A246" s="24">
        <v>242</v>
      </c>
      <c r="B246" s="25">
        <f ca="1">100*(sim!$C$3+NORMSINV(RAND())*sim!$C$4)</f>
        <v>1.831953803813708</v>
      </c>
    </row>
    <row r="247" spans="1:2">
      <c r="A247" s="24">
        <v>243</v>
      </c>
      <c r="B247" s="25">
        <f ca="1">100*(sim!$C$3+NORMSINV(RAND())*sim!$C$4)</f>
        <v>1.0351563322727555</v>
      </c>
    </row>
    <row r="248" spans="1:2">
      <c r="A248" s="24">
        <v>244</v>
      </c>
      <c r="B248" s="25">
        <f ca="1">100*(sim!$C$3+NORMSINV(RAND())*sim!$C$4)</f>
        <v>2.3129119645894471</v>
      </c>
    </row>
    <row r="249" spans="1:2">
      <c r="A249" s="24">
        <v>245</v>
      </c>
      <c r="B249" s="25">
        <f ca="1">100*(sim!$C$3+NORMSINV(RAND())*sim!$C$4)</f>
        <v>2.4518912793390233</v>
      </c>
    </row>
    <row r="250" spans="1:2">
      <c r="A250" s="24">
        <v>246</v>
      </c>
      <c r="B250" s="25">
        <f ca="1">100*(sim!$C$3+NORMSINV(RAND())*sim!$C$4)</f>
        <v>0.51069866046911361</v>
      </c>
    </row>
    <row r="251" spans="1:2">
      <c r="A251" s="24">
        <v>247</v>
      </c>
      <c r="B251" s="25">
        <f ca="1">100*(sim!$C$3+NORMSINV(RAND())*sim!$C$4)</f>
        <v>1.2167322883712701</v>
      </c>
    </row>
    <row r="252" spans="1:2">
      <c r="A252" s="24">
        <v>248</v>
      </c>
      <c r="B252" s="25">
        <f ca="1">100*(sim!$C$3+NORMSINV(RAND())*sim!$C$4)</f>
        <v>1.8296768348510868</v>
      </c>
    </row>
    <row r="253" spans="1:2">
      <c r="A253" s="24">
        <v>249</v>
      </c>
      <c r="B253" s="25">
        <f ca="1">100*(sim!$C$3+NORMSINV(RAND())*sim!$C$4)</f>
        <v>1.1402908618742535</v>
      </c>
    </row>
    <row r="254" spans="1:2">
      <c r="A254" s="24">
        <v>250</v>
      </c>
      <c r="B254" s="25">
        <f ca="1">100*(sim!$C$3+NORMSINV(RAND())*sim!$C$4)</f>
        <v>1.4243352012012496</v>
      </c>
    </row>
    <row r="255" spans="1:2">
      <c r="A255" s="24">
        <v>251</v>
      </c>
      <c r="B255" s="25">
        <f ca="1">100*(sim!$C$3+NORMSINV(RAND())*sim!$C$4)</f>
        <v>3.1851367536256308</v>
      </c>
    </row>
    <row r="256" spans="1:2">
      <c r="A256" s="24">
        <v>252</v>
      </c>
      <c r="B256" s="25">
        <f ca="1">100*(sim!$C$3+NORMSINV(RAND())*sim!$C$4)</f>
        <v>2.223326172599319</v>
      </c>
    </row>
    <row r="257" spans="1:2">
      <c r="A257" s="24">
        <v>253</v>
      </c>
      <c r="B257" s="25">
        <f ca="1">100*(sim!$C$3+NORMSINV(RAND())*sim!$C$4)</f>
        <v>0.68154603462376273</v>
      </c>
    </row>
    <row r="258" spans="1:2">
      <c r="A258" s="24">
        <v>254</v>
      </c>
      <c r="B258" s="25">
        <f ca="1">100*(sim!$C$3+NORMSINV(RAND())*sim!$C$4)</f>
        <v>3.0020279844131128</v>
      </c>
    </row>
    <row r="259" spans="1:2">
      <c r="A259" s="24">
        <v>255</v>
      </c>
      <c r="B259" s="25">
        <f ca="1">100*(sim!$C$3+NORMSINV(RAND())*sim!$C$4)</f>
        <v>3.0634666084666211</v>
      </c>
    </row>
    <row r="260" spans="1:2">
      <c r="A260" s="24">
        <v>256</v>
      </c>
      <c r="B260" s="25">
        <f ca="1">100*(sim!$C$3+NORMSINV(RAND())*sim!$C$4)</f>
        <v>1.7607537771028932</v>
      </c>
    </row>
    <row r="261" spans="1:2">
      <c r="A261" s="24">
        <v>257</v>
      </c>
      <c r="B261" s="25">
        <f ca="1">100*(sim!$C$3+NORMSINV(RAND())*sim!$C$4)</f>
        <v>1.2757381359380486</v>
      </c>
    </row>
    <row r="262" spans="1:2">
      <c r="A262" s="24">
        <v>258</v>
      </c>
      <c r="B262" s="25">
        <f ca="1">100*(sim!$C$3+NORMSINV(RAND())*sim!$C$4)</f>
        <v>1.6841233275727376</v>
      </c>
    </row>
    <row r="263" spans="1:2">
      <c r="A263" s="24">
        <v>259</v>
      </c>
      <c r="B263" s="25">
        <f ca="1">100*(sim!$C$3+NORMSINV(RAND())*sim!$C$4)</f>
        <v>2.6338636479098523</v>
      </c>
    </row>
    <row r="264" spans="1:2">
      <c r="A264" s="24">
        <v>260</v>
      </c>
      <c r="B264" s="25">
        <f ca="1">100*(sim!$C$3+NORMSINV(RAND())*sim!$C$4)</f>
        <v>3.8203334401581697</v>
      </c>
    </row>
    <row r="265" spans="1:2">
      <c r="A265" s="24">
        <v>261</v>
      </c>
      <c r="B265" s="25">
        <f ca="1">100*(sim!$C$3+NORMSINV(RAND())*sim!$C$4)</f>
        <v>1.4522098612391061</v>
      </c>
    </row>
    <row r="266" spans="1:2">
      <c r="A266" s="24">
        <v>262</v>
      </c>
      <c r="B266" s="25">
        <f ca="1">100*(sim!$C$3+NORMSINV(RAND())*sim!$C$4)</f>
        <v>3.0064162862600323</v>
      </c>
    </row>
    <row r="267" spans="1:2">
      <c r="A267" s="24">
        <v>263</v>
      </c>
      <c r="B267" s="25">
        <f ca="1">100*(sim!$C$3+NORMSINV(RAND())*sim!$C$4)</f>
        <v>1.1275927339772476</v>
      </c>
    </row>
    <row r="268" spans="1:2">
      <c r="A268" s="24">
        <v>264</v>
      </c>
      <c r="B268" s="25">
        <f ca="1">100*(sim!$C$3+NORMSINV(RAND())*sim!$C$4)</f>
        <v>2.6887542654448211</v>
      </c>
    </row>
    <row r="269" spans="1:2">
      <c r="A269" s="24">
        <v>265</v>
      </c>
      <c r="B269" s="25">
        <f ca="1">100*(sim!$C$3+NORMSINV(RAND())*sim!$C$4)</f>
        <v>1.5562232802689213</v>
      </c>
    </row>
    <row r="270" spans="1:2">
      <c r="A270" s="24">
        <v>266</v>
      </c>
      <c r="B270" s="25">
        <f ca="1">100*(sim!$C$3+NORMSINV(RAND())*sim!$C$4)</f>
        <v>0.23870035980728052</v>
      </c>
    </row>
    <row r="271" spans="1:2">
      <c r="A271" s="24">
        <v>267</v>
      </c>
      <c r="B271" s="25">
        <f ca="1">100*(sim!$C$3+NORMSINV(RAND())*sim!$C$4)</f>
        <v>-8.9538649253104174E-2</v>
      </c>
    </row>
    <row r="272" spans="1:2">
      <c r="A272" s="24">
        <v>268</v>
      </c>
      <c r="B272" s="25">
        <f ca="1">100*(sim!$C$3+NORMSINV(RAND())*sim!$C$4)</f>
        <v>1.8016825860501886</v>
      </c>
    </row>
    <row r="273" spans="1:2">
      <c r="A273" s="24">
        <v>269</v>
      </c>
      <c r="B273" s="25">
        <f ca="1">100*(sim!$C$3+NORMSINV(RAND())*sim!$C$4)</f>
        <v>1.7341771212030039</v>
      </c>
    </row>
    <row r="274" spans="1:2">
      <c r="A274" s="24">
        <v>270</v>
      </c>
      <c r="B274" s="25">
        <f ca="1">100*(sim!$C$3+NORMSINV(RAND())*sim!$C$4)</f>
        <v>1.7619034815506252</v>
      </c>
    </row>
    <row r="275" spans="1:2">
      <c r="A275" s="24">
        <v>271</v>
      </c>
      <c r="B275" s="25">
        <f ca="1">100*(sim!$C$3+NORMSINV(RAND())*sim!$C$4)</f>
        <v>2.771967133957586</v>
      </c>
    </row>
    <row r="276" spans="1:2">
      <c r="A276" s="24">
        <v>272</v>
      </c>
      <c r="B276" s="25">
        <f ca="1">100*(sim!$C$3+NORMSINV(RAND())*sim!$C$4)</f>
        <v>1.0627106728424802</v>
      </c>
    </row>
    <row r="277" spans="1:2">
      <c r="A277" s="24">
        <v>273</v>
      </c>
      <c r="B277" s="25">
        <f ca="1">100*(sim!$C$3+NORMSINV(RAND())*sim!$C$4)</f>
        <v>2.5012273341998319</v>
      </c>
    </row>
    <row r="278" spans="1:2">
      <c r="A278" s="24">
        <v>274</v>
      </c>
      <c r="B278" s="25">
        <f ca="1">100*(sim!$C$3+NORMSINV(RAND())*sim!$C$4)</f>
        <v>3.3790776201091881</v>
      </c>
    </row>
    <row r="279" spans="1:2">
      <c r="A279" s="24">
        <v>275</v>
      </c>
      <c r="B279" s="25">
        <f ca="1">100*(sim!$C$3+NORMSINV(RAND())*sim!$C$4)</f>
        <v>2.7401263708634449</v>
      </c>
    </row>
    <row r="280" spans="1:2">
      <c r="A280" s="24">
        <v>276</v>
      </c>
      <c r="B280" s="25">
        <f ca="1">100*(sim!$C$3+NORMSINV(RAND())*sim!$C$4)</f>
        <v>2.7429022285936075</v>
      </c>
    </row>
    <row r="281" spans="1:2">
      <c r="A281" s="24">
        <v>277</v>
      </c>
      <c r="B281" s="25">
        <f ca="1">100*(sim!$C$3+NORMSINV(RAND())*sim!$C$4)</f>
        <v>3.8549423578341595</v>
      </c>
    </row>
    <row r="282" spans="1:2">
      <c r="A282" s="24">
        <v>278</v>
      </c>
      <c r="B282" s="25">
        <f ca="1">100*(sim!$C$3+NORMSINV(RAND())*sim!$C$4)</f>
        <v>2.9809892225123651</v>
      </c>
    </row>
    <row r="283" spans="1:2">
      <c r="A283" s="24">
        <v>279</v>
      </c>
      <c r="B283" s="25">
        <f ca="1">100*(sim!$C$3+NORMSINV(RAND())*sim!$C$4)</f>
        <v>1.8086924500164772</v>
      </c>
    </row>
    <row r="284" spans="1:2">
      <c r="A284" s="24">
        <v>280</v>
      </c>
      <c r="B284" s="25">
        <f ca="1">100*(sim!$C$3+NORMSINV(RAND())*sim!$C$4)</f>
        <v>2.4747832740643445</v>
      </c>
    </row>
    <row r="285" spans="1:2">
      <c r="A285" s="24">
        <v>281</v>
      </c>
      <c r="B285" s="25">
        <f ca="1">100*(sim!$C$3+NORMSINV(RAND())*sim!$C$4)</f>
        <v>1.9638693661773774</v>
      </c>
    </row>
    <row r="286" spans="1:2">
      <c r="A286" s="24">
        <v>282</v>
      </c>
      <c r="B286" s="25">
        <f ca="1">100*(sim!$C$3+NORMSINV(RAND())*sim!$C$4)</f>
        <v>0.20211771452075084</v>
      </c>
    </row>
    <row r="287" spans="1:2">
      <c r="A287" s="24">
        <v>283</v>
      </c>
      <c r="B287" s="25">
        <f ca="1">100*(sim!$C$3+NORMSINV(RAND())*sim!$C$4)</f>
        <v>2.1013710590094559</v>
      </c>
    </row>
    <row r="288" spans="1:2">
      <c r="A288" s="24">
        <v>284</v>
      </c>
      <c r="B288" s="25">
        <f ca="1">100*(sim!$C$3+NORMSINV(RAND())*sim!$C$4)</f>
        <v>3.1371968909055088</v>
      </c>
    </row>
    <row r="289" spans="1:2">
      <c r="A289" s="24">
        <v>285</v>
      </c>
      <c r="B289" s="25">
        <f ca="1">100*(sim!$C$3+NORMSINV(RAND())*sim!$C$4)</f>
        <v>0.92208007583009666</v>
      </c>
    </row>
    <row r="290" spans="1:2">
      <c r="A290" s="24">
        <v>286</v>
      </c>
      <c r="B290" s="25">
        <f ca="1">100*(sim!$C$3+NORMSINV(RAND())*sim!$C$4)</f>
        <v>2.7323258600790283</v>
      </c>
    </row>
    <row r="291" spans="1:2">
      <c r="A291" s="24">
        <v>287</v>
      </c>
      <c r="B291" s="25">
        <f ca="1">100*(sim!$C$3+NORMSINV(RAND())*sim!$C$4)</f>
        <v>3.0032733701073342</v>
      </c>
    </row>
    <row r="292" spans="1:2">
      <c r="A292" s="24">
        <v>288</v>
      </c>
      <c r="B292" s="25">
        <f ca="1">100*(sim!$C$3+NORMSINV(RAND())*sim!$C$4)</f>
        <v>0.61174473677548213</v>
      </c>
    </row>
    <row r="293" spans="1:2">
      <c r="A293" s="24">
        <v>289</v>
      </c>
      <c r="B293" s="25">
        <f ca="1">100*(sim!$C$3+NORMSINV(RAND())*sim!$C$4)</f>
        <v>1.8301525630205762</v>
      </c>
    </row>
    <row r="294" spans="1:2">
      <c r="A294" s="24">
        <v>290</v>
      </c>
      <c r="B294" s="25">
        <f ca="1">100*(sim!$C$3+NORMSINV(RAND())*sim!$C$4)</f>
        <v>1.2522781818202842</v>
      </c>
    </row>
    <row r="295" spans="1:2">
      <c r="A295" s="24">
        <v>291</v>
      </c>
      <c r="B295" s="25">
        <f ca="1">100*(sim!$C$3+NORMSINV(RAND())*sim!$C$4)</f>
        <v>1.8024078600555062</v>
      </c>
    </row>
    <row r="296" spans="1:2">
      <c r="A296" s="24">
        <v>292</v>
      </c>
      <c r="B296" s="25">
        <f ca="1">100*(sim!$C$3+NORMSINV(RAND())*sim!$C$4)</f>
        <v>1.2855624131934247</v>
      </c>
    </row>
    <row r="297" spans="1:2">
      <c r="A297" s="24">
        <v>293</v>
      </c>
      <c r="B297" s="25">
        <f ca="1">100*(sim!$C$3+NORMSINV(RAND())*sim!$C$4)</f>
        <v>-9.6399301838978949E-2</v>
      </c>
    </row>
    <row r="298" spans="1:2">
      <c r="A298" s="24">
        <v>294</v>
      </c>
      <c r="B298" s="25">
        <f ca="1">100*(sim!$C$3+NORMSINV(RAND())*sim!$C$4)</f>
        <v>2.9809871525966281</v>
      </c>
    </row>
    <row r="299" spans="1:2">
      <c r="A299" s="24">
        <v>295</v>
      </c>
      <c r="B299" s="25">
        <f ca="1">100*(sim!$C$3+NORMSINV(RAND())*sim!$C$4)</f>
        <v>0.67996528334769535</v>
      </c>
    </row>
    <row r="300" spans="1:2">
      <c r="A300" s="24">
        <v>296</v>
      </c>
      <c r="B300" s="25">
        <f ca="1">100*(sim!$C$3+NORMSINV(RAND())*sim!$C$4)</f>
        <v>2.9263019549446363</v>
      </c>
    </row>
    <row r="301" spans="1:2">
      <c r="A301" s="24">
        <v>297</v>
      </c>
      <c r="B301" s="25">
        <f ca="1">100*(sim!$C$3+NORMSINV(RAND())*sim!$C$4)</f>
        <v>2.5529441645409934</v>
      </c>
    </row>
    <row r="302" spans="1:2">
      <c r="A302" s="24">
        <v>298</v>
      </c>
      <c r="B302" s="25">
        <f ca="1">100*(sim!$C$3+NORMSINV(RAND())*sim!$C$4)</f>
        <v>0.65130447718292594</v>
      </c>
    </row>
    <row r="303" spans="1:2">
      <c r="A303" s="24">
        <v>299</v>
      </c>
      <c r="B303" s="25">
        <f ca="1">100*(sim!$C$3+NORMSINV(RAND())*sim!$C$4)</f>
        <v>1.706740933657614</v>
      </c>
    </row>
    <row r="304" spans="1:2">
      <c r="A304" s="24">
        <v>300</v>
      </c>
      <c r="B304" s="25">
        <f ca="1">100*(sim!$C$3+NORMSINV(RAND())*sim!$C$4)</f>
        <v>2.789388215925126</v>
      </c>
    </row>
    <row r="305" spans="1:2">
      <c r="A305" s="24">
        <v>301</v>
      </c>
      <c r="B305" s="25">
        <f ca="1">100*(sim!$C$3+NORMSINV(RAND())*sim!$C$4)</f>
        <v>1.5549484830821543</v>
      </c>
    </row>
    <row r="306" spans="1:2">
      <c r="A306" s="24">
        <v>302</v>
      </c>
      <c r="B306" s="25">
        <f ca="1">100*(sim!$C$3+NORMSINV(RAND())*sim!$C$4)</f>
        <v>2.8929008626976644</v>
      </c>
    </row>
    <row r="307" spans="1:2">
      <c r="A307" s="24">
        <v>303</v>
      </c>
      <c r="B307" s="25">
        <f ca="1">100*(sim!$C$3+NORMSINV(RAND())*sim!$C$4)</f>
        <v>0.48150620360981439</v>
      </c>
    </row>
    <row r="308" spans="1:2">
      <c r="A308" s="24">
        <v>304</v>
      </c>
      <c r="B308" s="25">
        <f ca="1">100*(sim!$C$3+NORMSINV(RAND())*sim!$C$4)</f>
        <v>1.5792962880466186</v>
      </c>
    </row>
    <row r="309" spans="1:2">
      <c r="A309" s="24">
        <v>305</v>
      </c>
      <c r="B309" s="25">
        <f ca="1">100*(sim!$C$3+NORMSINV(RAND())*sim!$C$4)</f>
        <v>2.1834750393497431</v>
      </c>
    </row>
    <row r="310" spans="1:2">
      <c r="A310" s="24">
        <v>306</v>
      </c>
      <c r="B310" s="25">
        <f ca="1">100*(sim!$C$3+NORMSINV(RAND())*sim!$C$4)</f>
        <v>2.8610328114978567</v>
      </c>
    </row>
    <row r="311" spans="1:2">
      <c r="A311" s="24">
        <v>307</v>
      </c>
      <c r="B311" s="25">
        <f ca="1">100*(sim!$C$3+NORMSINV(RAND())*sim!$C$4)</f>
        <v>1.7628880905725897</v>
      </c>
    </row>
    <row r="312" spans="1:2">
      <c r="A312" s="24">
        <v>308</v>
      </c>
      <c r="B312" s="25">
        <f ca="1">100*(sim!$C$3+NORMSINV(RAND())*sim!$C$4)</f>
        <v>1.95798806197978</v>
      </c>
    </row>
    <row r="313" spans="1:2">
      <c r="A313" s="24">
        <v>309</v>
      </c>
      <c r="B313" s="25">
        <f ca="1">100*(sim!$C$3+NORMSINV(RAND())*sim!$C$4)</f>
        <v>1.4103821602411422</v>
      </c>
    </row>
    <row r="314" spans="1:2">
      <c r="A314" s="24">
        <v>310</v>
      </c>
      <c r="B314" s="25">
        <f ca="1">100*(sim!$C$3+NORMSINV(RAND())*sim!$C$4)</f>
        <v>1.2194335334963078</v>
      </c>
    </row>
    <row r="315" spans="1:2">
      <c r="A315" s="24">
        <v>311</v>
      </c>
      <c r="B315" s="25">
        <f ca="1">100*(sim!$C$3+NORMSINV(RAND())*sim!$C$4)</f>
        <v>3.1225349489432919</v>
      </c>
    </row>
    <row r="316" spans="1:2">
      <c r="A316" s="24">
        <v>312</v>
      </c>
      <c r="B316" s="25">
        <f ca="1">100*(sim!$C$3+NORMSINV(RAND())*sim!$C$4)</f>
        <v>-1.2731507208906065</v>
      </c>
    </row>
    <row r="317" spans="1:2">
      <c r="A317" s="24">
        <v>313</v>
      </c>
      <c r="B317" s="25">
        <f ca="1">100*(sim!$C$3+NORMSINV(RAND())*sim!$C$4)</f>
        <v>3.6328605399006841</v>
      </c>
    </row>
    <row r="318" spans="1:2">
      <c r="A318" s="24">
        <v>314</v>
      </c>
      <c r="B318" s="25">
        <f ca="1">100*(sim!$C$3+NORMSINV(RAND())*sim!$C$4)</f>
        <v>1.1004585669638549</v>
      </c>
    </row>
    <row r="319" spans="1:2">
      <c r="A319" s="24">
        <v>315</v>
      </c>
      <c r="B319" s="25">
        <f ca="1">100*(sim!$C$3+NORMSINV(RAND())*sim!$C$4)</f>
        <v>2.7266743223912657</v>
      </c>
    </row>
    <row r="320" spans="1:2">
      <c r="A320" s="24">
        <v>316</v>
      </c>
      <c r="B320" s="25">
        <f ca="1">100*(sim!$C$3+NORMSINV(RAND())*sim!$C$4)</f>
        <v>1.7843930699220305</v>
      </c>
    </row>
    <row r="321" spans="1:2">
      <c r="A321" s="24">
        <v>317</v>
      </c>
      <c r="B321" s="25">
        <f ca="1">100*(sim!$C$3+NORMSINV(RAND())*sim!$C$4)</f>
        <v>2.6220405041408976</v>
      </c>
    </row>
    <row r="322" spans="1:2">
      <c r="A322" s="24">
        <v>318</v>
      </c>
      <c r="B322" s="25">
        <f ca="1">100*(sim!$C$3+NORMSINV(RAND())*sim!$C$4)</f>
        <v>2.0795992021147041</v>
      </c>
    </row>
    <row r="323" spans="1:2">
      <c r="A323" s="24">
        <v>319</v>
      </c>
      <c r="B323" s="25">
        <f ca="1">100*(sim!$C$3+NORMSINV(RAND())*sim!$C$4)</f>
        <v>2.7497214322593795</v>
      </c>
    </row>
    <row r="324" spans="1:2">
      <c r="A324" s="24">
        <v>320</v>
      </c>
      <c r="B324" s="25">
        <f ca="1">100*(sim!$C$3+NORMSINV(RAND())*sim!$C$4)</f>
        <v>2.301850794518852</v>
      </c>
    </row>
    <row r="325" spans="1:2">
      <c r="A325" s="24">
        <v>321</v>
      </c>
      <c r="B325" s="25">
        <f ca="1">100*(sim!$C$3+NORMSINV(RAND())*sim!$C$4)</f>
        <v>2.467162976589433</v>
      </c>
    </row>
    <row r="326" spans="1:2">
      <c r="A326" s="24">
        <v>322</v>
      </c>
      <c r="B326" s="25">
        <f ca="1">100*(sim!$C$3+NORMSINV(RAND())*sim!$C$4)</f>
        <v>3.799233246343936</v>
      </c>
    </row>
    <row r="327" spans="1:2">
      <c r="A327" s="24">
        <v>323</v>
      </c>
      <c r="B327" s="25">
        <f ca="1">100*(sim!$C$3+NORMSINV(RAND())*sim!$C$4)</f>
        <v>0.48717271448800897</v>
      </c>
    </row>
    <row r="328" spans="1:2">
      <c r="A328" s="24">
        <v>324</v>
      </c>
      <c r="B328" s="25">
        <f ca="1">100*(sim!$C$3+NORMSINV(RAND())*sim!$C$4)</f>
        <v>3.6178355903068864</v>
      </c>
    </row>
    <row r="329" spans="1:2">
      <c r="A329" s="24">
        <v>325</v>
      </c>
      <c r="B329" s="25">
        <f ca="1">100*(sim!$C$3+NORMSINV(RAND())*sim!$C$4)</f>
        <v>1.1132046322727198</v>
      </c>
    </row>
    <row r="330" spans="1:2">
      <c r="A330" s="24">
        <v>326</v>
      </c>
      <c r="B330" s="25">
        <f ca="1">100*(sim!$C$3+NORMSINV(RAND())*sim!$C$4)</f>
        <v>2.957136697406979</v>
      </c>
    </row>
    <row r="331" spans="1:2">
      <c r="A331" s="24">
        <v>327</v>
      </c>
      <c r="B331" s="25">
        <f ca="1">100*(sim!$C$3+NORMSINV(RAND())*sim!$C$4)</f>
        <v>2.9833015447307263</v>
      </c>
    </row>
    <row r="332" spans="1:2">
      <c r="A332" s="24">
        <v>328</v>
      </c>
      <c r="B332" s="25">
        <f ca="1">100*(sim!$C$3+NORMSINV(RAND())*sim!$C$4)</f>
        <v>3.9112306732654138</v>
      </c>
    </row>
    <row r="333" spans="1:2">
      <c r="A333" s="24">
        <v>329</v>
      </c>
      <c r="B333" s="25">
        <f ca="1">100*(sim!$C$3+NORMSINV(RAND())*sim!$C$4)</f>
        <v>1.2835240095874865</v>
      </c>
    </row>
    <row r="334" spans="1:2">
      <c r="A334" s="24">
        <v>330</v>
      </c>
      <c r="B334" s="25">
        <f ca="1">100*(sim!$C$3+NORMSINV(RAND())*sim!$C$4)</f>
        <v>2.088802880477123</v>
      </c>
    </row>
    <row r="335" spans="1:2">
      <c r="A335" s="24">
        <v>331</v>
      </c>
      <c r="B335" s="25">
        <f ca="1">100*(sim!$C$3+NORMSINV(RAND())*sim!$C$4)</f>
        <v>3.2110308512979455</v>
      </c>
    </row>
    <row r="336" spans="1:2">
      <c r="A336" s="24">
        <v>332</v>
      </c>
      <c r="B336" s="25">
        <f ca="1">100*(sim!$C$3+NORMSINV(RAND())*sim!$C$4)</f>
        <v>2.68494929545373</v>
      </c>
    </row>
    <row r="337" spans="1:2">
      <c r="A337" s="24">
        <v>333</v>
      </c>
      <c r="B337" s="25">
        <f ca="1">100*(sim!$C$3+NORMSINV(RAND())*sim!$C$4)</f>
        <v>2.4858833376087719</v>
      </c>
    </row>
    <row r="338" spans="1:2">
      <c r="A338" s="24">
        <v>334</v>
      </c>
      <c r="B338" s="25">
        <f ca="1">100*(sim!$C$3+NORMSINV(RAND())*sim!$C$4)</f>
        <v>2.7802651226658774</v>
      </c>
    </row>
    <row r="339" spans="1:2">
      <c r="A339" s="24">
        <v>335</v>
      </c>
      <c r="B339" s="25">
        <f ca="1">100*(sim!$C$3+NORMSINV(RAND())*sim!$C$4)</f>
        <v>0.57177327588750981</v>
      </c>
    </row>
    <row r="340" spans="1:2">
      <c r="A340" s="24">
        <v>336</v>
      </c>
      <c r="B340" s="25">
        <f ca="1">100*(sim!$C$3+NORMSINV(RAND())*sim!$C$4)</f>
        <v>1.5930501936772958</v>
      </c>
    </row>
    <row r="341" spans="1:2">
      <c r="A341" s="24">
        <v>337</v>
      </c>
      <c r="B341" s="25">
        <f ca="1">100*(sim!$C$3+NORMSINV(RAND())*sim!$C$4)</f>
        <v>3.4549085737769625</v>
      </c>
    </row>
    <row r="342" spans="1:2">
      <c r="A342" s="24">
        <v>338</v>
      </c>
      <c r="B342" s="25">
        <f ca="1">100*(sim!$C$3+NORMSINV(RAND())*sim!$C$4)</f>
        <v>0.70790713572639552</v>
      </c>
    </row>
    <row r="343" spans="1:2">
      <c r="A343" s="24">
        <v>339</v>
      </c>
      <c r="B343" s="25">
        <f ca="1">100*(sim!$C$3+NORMSINV(RAND())*sim!$C$4)</f>
        <v>4.8040081730380813</v>
      </c>
    </row>
    <row r="344" spans="1:2">
      <c r="A344" s="24">
        <v>340</v>
      </c>
      <c r="B344" s="25">
        <f ca="1">100*(sim!$C$3+NORMSINV(RAND())*sim!$C$4)</f>
        <v>2.6071920772342931</v>
      </c>
    </row>
    <row r="345" spans="1:2">
      <c r="A345" s="24">
        <v>341</v>
      </c>
      <c r="B345" s="25">
        <f ca="1">100*(sim!$C$3+NORMSINV(RAND())*sim!$C$4)</f>
        <v>3.7915662870470199</v>
      </c>
    </row>
    <row r="346" spans="1:2">
      <c r="A346" s="24">
        <v>342</v>
      </c>
      <c r="B346" s="25">
        <f ca="1">100*(sim!$C$3+NORMSINV(RAND())*sim!$C$4)</f>
        <v>3.139413004259918</v>
      </c>
    </row>
    <row r="347" spans="1:2">
      <c r="A347" s="24">
        <v>343</v>
      </c>
      <c r="B347" s="25">
        <f ca="1">100*(sim!$C$3+NORMSINV(RAND())*sim!$C$4)</f>
        <v>3.1426762354576199</v>
      </c>
    </row>
    <row r="348" spans="1:2">
      <c r="A348" s="24">
        <v>344</v>
      </c>
      <c r="B348" s="25">
        <f ca="1">100*(sim!$C$3+NORMSINV(RAND())*sim!$C$4)</f>
        <v>3.522587411652979</v>
      </c>
    </row>
    <row r="349" spans="1:2">
      <c r="A349" s="24">
        <v>345</v>
      </c>
      <c r="B349" s="25">
        <f ca="1">100*(sim!$C$3+NORMSINV(RAND())*sim!$C$4)</f>
        <v>2.0578661458831746</v>
      </c>
    </row>
    <row r="350" spans="1:2">
      <c r="A350" s="24">
        <v>346</v>
      </c>
      <c r="B350" s="25">
        <f ca="1">100*(sim!$C$3+NORMSINV(RAND())*sim!$C$4)</f>
        <v>2.7766659790729693</v>
      </c>
    </row>
    <row r="351" spans="1:2">
      <c r="A351" s="24">
        <v>347</v>
      </c>
      <c r="B351" s="25">
        <f ca="1">100*(sim!$C$3+NORMSINV(RAND())*sim!$C$4)</f>
        <v>0.6486588996925714</v>
      </c>
    </row>
    <row r="352" spans="1:2">
      <c r="A352" s="24">
        <v>348</v>
      </c>
      <c r="B352" s="25">
        <f ca="1">100*(sim!$C$3+NORMSINV(RAND())*sim!$C$4)</f>
        <v>1.9484180546110916</v>
      </c>
    </row>
    <row r="353" spans="1:2">
      <c r="A353" s="24">
        <v>349</v>
      </c>
      <c r="B353" s="25">
        <f ca="1">100*(sim!$C$3+NORMSINV(RAND())*sim!$C$4)</f>
        <v>-4.839589066711926E-2</v>
      </c>
    </row>
    <row r="354" spans="1:2">
      <c r="A354" s="24">
        <v>350</v>
      </c>
      <c r="B354" s="25">
        <f ca="1">100*(sim!$C$3+NORMSINV(RAND())*sim!$C$4)</f>
        <v>3.46518446589638</v>
      </c>
    </row>
    <row r="355" spans="1:2">
      <c r="A355" s="24">
        <v>351</v>
      </c>
      <c r="B355" s="25">
        <f ca="1">100*(sim!$C$3+NORMSINV(RAND())*sim!$C$4)</f>
        <v>3.0312888157687587</v>
      </c>
    </row>
    <row r="356" spans="1:2">
      <c r="A356" s="24">
        <v>352</v>
      </c>
      <c r="B356" s="25">
        <f ca="1">100*(sim!$C$3+NORMSINV(RAND())*sim!$C$4)</f>
        <v>2.5896091139037209</v>
      </c>
    </row>
    <row r="357" spans="1:2">
      <c r="A357" s="24">
        <v>353</v>
      </c>
      <c r="B357" s="25">
        <f ca="1">100*(sim!$C$3+NORMSINV(RAND())*sim!$C$4)</f>
        <v>2.3290604466969058</v>
      </c>
    </row>
    <row r="358" spans="1:2">
      <c r="A358" s="24">
        <v>354</v>
      </c>
      <c r="B358" s="25">
        <f ca="1">100*(sim!$C$3+NORMSINV(RAND())*sim!$C$4)</f>
        <v>2.3110468973097715</v>
      </c>
    </row>
    <row r="359" spans="1:2">
      <c r="A359" s="24">
        <v>355</v>
      </c>
      <c r="B359" s="25">
        <f ca="1">100*(sim!$C$3+NORMSINV(RAND())*sim!$C$4)</f>
        <v>4.0244723106219586</v>
      </c>
    </row>
    <row r="360" spans="1:2">
      <c r="A360" s="24">
        <v>356</v>
      </c>
      <c r="B360" s="25">
        <f ca="1">100*(sim!$C$3+NORMSINV(RAND())*sim!$C$4)</f>
        <v>2.9288074252984657</v>
      </c>
    </row>
    <row r="361" spans="1:2">
      <c r="A361" s="24">
        <v>357</v>
      </c>
      <c r="B361" s="25">
        <f ca="1">100*(sim!$C$3+NORMSINV(RAND())*sim!$C$4)</f>
        <v>0.70906941401398549</v>
      </c>
    </row>
    <row r="362" spans="1:2">
      <c r="A362" s="24">
        <v>358</v>
      </c>
      <c r="B362" s="25">
        <f ca="1">100*(sim!$C$3+NORMSINV(RAND())*sim!$C$4)</f>
        <v>2.1745745964640282</v>
      </c>
    </row>
    <row r="363" spans="1:2">
      <c r="A363" s="24">
        <v>359</v>
      </c>
      <c r="B363" s="25">
        <f ca="1">100*(sim!$C$3+NORMSINV(RAND())*sim!$C$4)</f>
        <v>1.800034113443735</v>
      </c>
    </row>
    <row r="364" spans="1:2">
      <c r="A364" s="24">
        <v>360</v>
      </c>
      <c r="B364" s="25">
        <f ca="1">100*(sim!$C$3+NORMSINV(RAND())*sim!$C$4)</f>
        <v>2.625560927949643</v>
      </c>
    </row>
    <row r="365" spans="1:2">
      <c r="A365" s="24">
        <v>361</v>
      </c>
      <c r="B365" s="25">
        <f ca="1">100*(sim!$C$3+NORMSINV(RAND())*sim!$C$4)</f>
        <v>1.9866449955170882</v>
      </c>
    </row>
    <row r="366" spans="1:2">
      <c r="A366" s="24">
        <v>362</v>
      </c>
      <c r="B366" s="25">
        <f ca="1">100*(sim!$C$3+NORMSINV(RAND())*sim!$C$4)</f>
        <v>1.5638911918845613</v>
      </c>
    </row>
    <row r="367" spans="1:2">
      <c r="A367" s="24">
        <v>363</v>
      </c>
      <c r="B367" s="25">
        <f ca="1">100*(sim!$C$3+NORMSINV(RAND())*sim!$C$4)</f>
        <v>2.3744645543197356</v>
      </c>
    </row>
    <row r="368" spans="1:2">
      <c r="A368" s="24">
        <v>364</v>
      </c>
      <c r="B368" s="25">
        <f ca="1">100*(sim!$C$3+NORMSINV(RAND())*sim!$C$4)</f>
        <v>2.8276455859272973</v>
      </c>
    </row>
    <row r="369" spans="1:2">
      <c r="A369" s="24">
        <v>365</v>
      </c>
      <c r="B369" s="25">
        <f ca="1">100*(sim!$C$3+NORMSINV(RAND())*sim!$C$4)</f>
        <v>0.59673133849442694</v>
      </c>
    </row>
    <row r="370" spans="1:2">
      <c r="A370" s="24">
        <v>366</v>
      </c>
      <c r="B370" s="25">
        <f ca="1">100*(sim!$C$3+NORMSINV(RAND())*sim!$C$4)</f>
        <v>2.2169336994507369</v>
      </c>
    </row>
    <row r="371" spans="1:2">
      <c r="A371" s="24">
        <v>367</v>
      </c>
      <c r="B371" s="25">
        <f ca="1">100*(sim!$C$3+NORMSINV(RAND())*sim!$C$4)</f>
        <v>2.2216312887651659</v>
      </c>
    </row>
    <row r="372" spans="1:2">
      <c r="A372" s="24">
        <v>368</v>
      </c>
      <c r="B372" s="25">
        <f ca="1">100*(sim!$C$3+NORMSINV(RAND())*sim!$C$4)</f>
        <v>0.94010116558346701</v>
      </c>
    </row>
    <row r="373" spans="1:2">
      <c r="A373" s="24">
        <v>369</v>
      </c>
      <c r="B373" s="25">
        <f ca="1">100*(sim!$C$3+NORMSINV(RAND())*sim!$C$4)</f>
        <v>0.42069828522001246</v>
      </c>
    </row>
    <row r="374" spans="1:2">
      <c r="A374" s="24">
        <v>370</v>
      </c>
      <c r="B374" s="25">
        <f ca="1">100*(sim!$C$3+NORMSINV(RAND())*sim!$C$4)</f>
        <v>1.2564780208621613</v>
      </c>
    </row>
    <row r="375" spans="1:2">
      <c r="A375" s="24">
        <v>371</v>
      </c>
      <c r="B375" s="25">
        <f ca="1">100*(sim!$C$3+NORMSINV(RAND())*sim!$C$4)</f>
        <v>2.1155001274087462</v>
      </c>
    </row>
    <row r="376" spans="1:2">
      <c r="A376" s="24">
        <v>372</v>
      </c>
      <c r="B376" s="25">
        <f ca="1">100*(sim!$C$3+NORMSINV(RAND())*sim!$C$4)</f>
        <v>0.83068115053115732</v>
      </c>
    </row>
    <row r="377" spans="1:2">
      <c r="A377" s="24">
        <v>373</v>
      </c>
      <c r="B377" s="25">
        <f ca="1">100*(sim!$C$3+NORMSINV(RAND())*sim!$C$4)</f>
        <v>1.3570516859456896</v>
      </c>
    </row>
    <row r="378" spans="1:2">
      <c r="A378" s="24">
        <v>374</v>
      </c>
      <c r="B378" s="25">
        <f ca="1">100*(sim!$C$3+NORMSINV(RAND())*sim!$C$4)</f>
        <v>1.8249137008607061</v>
      </c>
    </row>
    <row r="379" spans="1:2">
      <c r="A379" s="24">
        <v>375</v>
      </c>
      <c r="B379" s="25">
        <f ca="1">100*(sim!$C$3+NORMSINV(RAND())*sim!$C$4)</f>
        <v>0.6640513247001083</v>
      </c>
    </row>
    <row r="380" spans="1:2">
      <c r="A380" s="24">
        <v>376</v>
      </c>
      <c r="B380" s="25">
        <f ca="1">100*(sim!$C$3+NORMSINV(RAND())*sim!$C$4)</f>
        <v>2.2733138231956147</v>
      </c>
    </row>
    <row r="381" spans="1:2">
      <c r="A381" s="24">
        <v>377</v>
      </c>
      <c r="B381" s="25">
        <f ca="1">100*(sim!$C$3+NORMSINV(RAND())*sim!$C$4)</f>
        <v>2.2351621725619175</v>
      </c>
    </row>
    <row r="382" spans="1:2">
      <c r="A382" s="24">
        <v>378</v>
      </c>
      <c r="B382" s="25">
        <f ca="1">100*(sim!$C$3+NORMSINV(RAND())*sim!$C$4)</f>
        <v>1.5690538592968675</v>
      </c>
    </row>
    <row r="383" spans="1:2">
      <c r="A383" s="24">
        <v>379</v>
      </c>
      <c r="B383" s="25">
        <f ca="1">100*(sim!$C$3+NORMSINV(RAND())*sim!$C$4)</f>
        <v>1.9596398172575125</v>
      </c>
    </row>
    <row r="384" spans="1:2">
      <c r="A384" s="24">
        <v>380</v>
      </c>
      <c r="B384" s="25">
        <f ca="1">100*(sim!$C$3+NORMSINV(RAND())*sim!$C$4)</f>
        <v>1.8805325452032946</v>
      </c>
    </row>
    <row r="385" spans="1:2">
      <c r="A385" s="24">
        <v>381</v>
      </c>
      <c r="B385" s="25">
        <f ca="1">100*(sim!$C$3+NORMSINV(RAND())*sim!$C$4)</f>
        <v>2.2575089426485753</v>
      </c>
    </row>
    <row r="386" spans="1:2">
      <c r="A386" s="24">
        <v>382</v>
      </c>
      <c r="B386" s="25">
        <f ca="1">100*(sim!$C$3+NORMSINV(RAND())*sim!$C$4)</f>
        <v>2.5993845637291462</v>
      </c>
    </row>
    <row r="387" spans="1:2">
      <c r="A387" s="24">
        <v>383</v>
      </c>
      <c r="B387" s="25">
        <f ca="1">100*(sim!$C$3+NORMSINV(RAND())*sim!$C$4)</f>
        <v>3.516182005037463</v>
      </c>
    </row>
    <row r="388" spans="1:2">
      <c r="A388" s="24">
        <v>384</v>
      </c>
      <c r="B388" s="25">
        <f ca="1">100*(sim!$C$3+NORMSINV(RAND())*sim!$C$4)</f>
        <v>3.9284203989505335</v>
      </c>
    </row>
    <row r="389" spans="1:2">
      <c r="A389" s="24">
        <v>385</v>
      </c>
      <c r="B389" s="25">
        <f ca="1">100*(sim!$C$3+NORMSINV(RAND())*sim!$C$4)</f>
        <v>2.9769497668947551</v>
      </c>
    </row>
    <row r="390" spans="1:2">
      <c r="A390" s="24">
        <v>386</v>
      </c>
      <c r="B390" s="25">
        <f ca="1">100*(sim!$C$3+NORMSINV(RAND())*sim!$C$4)</f>
        <v>2.736458398407648</v>
      </c>
    </row>
    <row r="391" spans="1:2">
      <c r="A391" s="24">
        <v>387</v>
      </c>
      <c r="B391" s="25">
        <f ca="1">100*(sim!$C$3+NORMSINV(RAND())*sim!$C$4)</f>
        <v>2.0586222295125416</v>
      </c>
    </row>
    <row r="392" spans="1:2">
      <c r="A392" s="24">
        <v>388</v>
      </c>
      <c r="B392" s="25">
        <f ca="1">100*(sim!$C$3+NORMSINV(RAND())*sim!$C$4)</f>
        <v>2.0769013484903183</v>
      </c>
    </row>
    <row r="393" spans="1:2">
      <c r="A393" s="24">
        <v>389</v>
      </c>
      <c r="B393" s="25">
        <f ca="1">100*(sim!$C$3+NORMSINV(RAND())*sim!$C$4)</f>
        <v>1.9968440463301536</v>
      </c>
    </row>
    <row r="394" spans="1:2">
      <c r="A394" s="24">
        <v>390</v>
      </c>
      <c r="B394" s="25">
        <f ca="1">100*(sim!$C$3+NORMSINV(RAND())*sim!$C$4)</f>
        <v>3.6482104802731423</v>
      </c>
    </row>
    <row r="395" spans="1:2">
      <c r="A395" s="24">
        <v>391</v>
      </c>
      <c r="B395" s="25">
        <f ca="1">100*(sim!$C$3+NORMSINV(RAND())*sim!$C$4)</f>
        <v>4.0916072864773074</v>
      </c>
    </row>
    <row r="396" spans="1:2">
      <c r="A396" s="24">
        <v>392</v>
      </c>
      <c r="B396" s="25">
        <f ca="1">100*(sim!$C$3+NORMSINV(RAND())*sim!$C$4)</f>
        <v>2.210955735054553</v>
      </c>
    </row>
    <row r="397" spans="1:2">
      <c r="A397" s="24">
        <v>393</v>
      </c>
      <c r="B397" s="25">
        <f ca="1">100*(sim!$C$3+NORMSINV(RAND())*sim!$C$4)</f>
        <v>3.5422026069440808</v>
      </c>
    </row>
    <row r="398" spans="1:2">
      <c r="A398" s="24">
        <v>394</v>
      </c>
      <c r="B398" s="25">
        <f ca="1">100*(sim!$C$3+NORMSINV(RAND())*sim!$C$4)</f>
        <v>9.1671387199868115E-2</v>
      </c>
    </row>
    <row r="399" spans="1:2">
      <c r="A399" s="24">
        <v>395</v>
      </c>
      <c r="B399" s="25">
        <f ca="1">100*(sim!$C$3+NORMSINV(RAND())*sim!$C$4)</f>
        <v>2.8525201689558339</v>
      </c>
    </row>
    <row r="400" spans="1:2">
      <c r="A400" s="24">
        <v>396</v>
      </c>
      <c r="B400" s="25">
        <f ca="1">100*(sim!$C$3+NORMSINV(RAND())*sim!$C$4)</f>
        <v>2.0316351134325674</v>
      </c>
    </row>
    <row r="401" spans="1:2">
      <c r="A401" s="24">
        <v>397</v>
      </c>
      <c r="B401" s="25">
        <f ca="1">100*(sim!$C$3+NORMSINV(RAND())*sim!$C$4)</f>
        <v>2.5689602988812124</v>
      </c>
    </row>
    <row r="402" spans="1:2">
      <c r="A402" s="24">
        <v>398</v>
      </c>
      <c r="B402" s="25">
        <f ca="1">100*(sim!$C$3+NORMSINV(RAND())*sim!$C$4)</f>
        <v>2.3165149418673407</v>
      </c>
    </row>
    <row r="403" spans="1:2">
      <c r="A403" s="24">
        <v>399</v>
      </c>
      <c r="B403" s="25">
        <f ca="1">100*(sim!$C$3+NORMSINV(RAND())*sim!$C$4)</f>
        <v>2.661279030456253</v>
      </c>
    </row>
    <row r="404" spans="1:2">
      <c r="A404" s="24">
        <v>400</v>
      </c>
      <c r="B404" s="25">
        <f ca="1">100*(sim!$C$3+NORMSINV(RAND())*sim!$C$4)</f>
        <v>0.87443377719121329</v>
      </c>
    </row>
    <row r="405" spans="1:2">
      <c r="A405" s="24">
        <v>401</v>
      </c>
      <c r="B405" s="25">
        <f ca="1">100*(sim!$C$3+NORMSINV(RAND())*sim!$C$4)</f>
        <v>1.9803906515399063</v>
      </c>
    </row>
    <row r="406" spans="1:2">
      <c r="A406" s="24">
        <v>402</v>
      </c>
      <c r="B406" s="25">
        <f ca="1">100*(sim!$C$3+NORMSINV(RAND())*sim!$C$4)</f>
        <v>1.6455463394762226</v>
      </c>
    </row>
    <row r="407" spans="1:2">
      <c r="A407" s="24">
        <v>403</v>
      </c>
      <c r="B407" s="25">
        <f ca="1">100*(sim!$C$3+NORMSINV(RAND())*sim!$C$4)</f>
        <v>0.91426718285704833</v>
      </c>
    </row>
    <row r="408" spans="1:2">
      <c r="A408" s="24">
        <v>404</v>
      </c>
      <c r="B408" s="25">
        <f ca="1">100*(sim!$C$3+NORMSINV(RAND())*sim!$C$4)</f>
        <v>1.6505703884905747</v>
      </c>
    </row>
    <row r="409" spans="1:2">
      <c r="A409" s="24">
        <v>405</v>
      </c>
      <c r="B409" s="25">
        <f ca="1">100*(sim!$C$3+NORMSINV(RAND())*sim!$C$4)</f>
        <v>2.5759973247065773</v>
      </c>
    </row>
    <row r="410" spans="1:2">
      <c r="A410" s="24">
        <v>406</v>
      </c>
      <c r="B410" s="25">
        <f ca="1">100*(sim!$C$3+NORMSINV(RAND())*sim!$C$4)</f>
        <v>2.2416124275670835</v>
      </c>
    </row>
    <row r="411" spans="1:2">
      <c r="A411" s="24">
        <v>407</v>
      </c>
      <c r="B411" s="25">
        <f ca="1">100*(sim!$C$3+NORMSINV(RAND())*sim!$C$4)</f>
        <v>1.8631548729634271</v>
      </c>
    </row>
    <row r="412" spans="1:2">
      <c r="A412" s="24">
        <v>408</v>
      </c>
      <c r="B412" s="25">
        <f ca="1">100*(sim!$C$3+NORMSINV(RAND())*sim!$C$4)</f>
        <v>2.6214292773990726</v>
      </c>
    </row>
    <row r="413" spans="1:2">
      <c r="A413" s="24">
        <v>409</v>
      </c>
      <c r="B413" s="25">
        <f ca="1">100*(sim!$C$3+NORMSINV(RAND())*sim!$C$4)</f>
        <v>0.55961467769159867</v>
      </c>
    </row>
    <row r="414" spans="1:2">
      <c r="A414" s="24">
        <v>410</v>
      </c>
      <c r="B414" s="25">
        <f ca="1">100*(sim!$C$3+NORMSINV(RAND())*sim!$C$4)</f>
        <v>3.1617481460878181</v>
      </c>
    </row>
    <row r="415" spans="1:2">
      <c r="A415" s="24">
        <v>411</v>
      </c>
      <c r="B415" s="25">
        <f ca="1">100*(sim!$C$3+NORMSINV(RAND())*sim!$C$4)</f>
        <v>2.3986444248468697</v>
      </c>
    </row>
    <row r="416" spans="1:2">
      <c r="A416" s="24">
        <v>412</v>
      </c>
      <c r="B416" s="25">
        <f ca="1">100*(sim!$C$3+NORMSINV(RAND())*sim!$C$4)</f>
        <v>2.373125829405855</v>
      </c>
    </row>
    <row r="417" spans="1:2">
      <c r="A417" s="24">
        <v>413</v>
      </c>
      <c r="B417" s="25">
        <f ca="1">100*(sim!$C$3+NORMSINV(RAND())*sim!$C$4)</f>
        <v>2.4854859955166773</v>
      </c>
    </row>
    <row r="418" spans="1:2">
      <c r="A418" s="24">
        <v>414</v>
      </c>
      <c r="B418" s="25">
        <f ca="1">100*(sim!$C$3+NORMSINV(RAND())*sim!$C$4)</f>
        <v>3.2235502987076963</v>
      </c>
    </row>
    <row r="419" spans="1:2">
      <c r="A419" s="24">
        <v>415</v>
      </c>
      <c r="B419" s="25">
        <f ca="1">100*(sim!$C$3+NORMSINV(RAND())*sim!$C$4)</f>
        <v>2.0623706895754799</v>
      </c>
    </row>
    <row r="420" spans="1:2">
      <c r="A420" s="24">
        <v>416</v>
      </c>
      <c r="B420" s="25">
        <f ca="1">100*(sim!$C$3+NORMSINV(RAND())*sim!$C$4)</f>
        <v>2.3530356603213751</v>
      </c>
    </row>
    <row r="421" spans="1:2">
      <c r="A421" s="24">
        <v>417</v>
      </c>
      <c r="B421" s="25">
        <f ca="1">100*(sim!$C$3+NORMSINV(RAND())*sim!$C$4)</f>
        <v>1.7527998502948581</v>
      </c>
    </row>
    <row r="422" spans="1:2">
      <c r="A422" s="24">
        <v>418</v>
      </c>
      <c r="B422" s="25">
        <f ca="1">100*(sim!$C$3+NORMSINV(RAND())*sim!$C$4)</f>
        <v>2.4481617407692351</v>
      </c>
    </row>
    <row r="423" spans="1:2">
      <c r="A423" s="24">
        <v>419</v>
      </c>
      <c r="B423" s="25">
        <f ca="1">100*(sim!$C$3+NORMSINV(RAND())*sim!$C$4)</f>
        <v>3.1154299521224305</v>
      </c>
    </row>
    <row r="424" spans="1:2">
      <c r="A424" s="24">
        <v>420</v>
      </c>
      <c r="B424" s="25">
        <f ca="1">100*(sim!$C$3+NORMSINV(RAND())*sim!$C$4)</f>
        <v>0.47241369330300409</v>
      </c>
    </row>
    <row r="425" spans="1:2">
      <c r="A425" s="24">
        <v>421</v>
      </c>
      <c r="B425" s="25">
        <f ca="1">100*(sim!$C$3+NORMSINV(RAND())*sim!$C$4)</f>
        <v>2.7262794210719683</v>
      </c>
    </row>
    <row r="426" spans="1:2">
      <c r="A426" s="24">
        <v>422</v>
      </c>
      <c r="B426" s="25">
        <f ca="1">100*(sim!$C$3+NORMSINV(RAND())*sim!$C$4)</f>
        <v>1.8394802085009976</v>
      </c>
    </row>
    <row r="427" spans="1:2">
      <c r="A427" s="24">
        <v>423</v>
      </c>
      <c r="B427" s="25">
        <f ca="1">100*(sim!$C$3+NORMSINV(RAND())*sim!$C$4)</f>
        <v>0.43459965529723082</v>
      </c>
    </row>
    <row r="428" spans="1:2">
      <c r="A428" s="24">
        <v>424</v>
      </c>
      <c r="B428" s="25">
        <f ca="1">100*(sim!$C$3+NORMSINV(RAND())*sim!$C$4)</f>
        <v>1.8209239586939696</v>
      </c>
    </row>
    <row r="429" spans="1:2">
      <c r="A429" s="24">
        <v>425</v>
      </c>
      <c r="B429" s="25">
        <f ca="1">100*(sim!$C$3+NORMSINV(RAND())*sim!$C$4)</f>
        <v>3.0048815867514906</v>
      </c>
    </row>
    <row r="430" spans="1:2">
      <c r="A430" s="24">
        <v>426</v>
      </c>
      <c r="B430" s="25">
        <f ca="1">100*(sim!$C$3+NORMSINV(RAND())*sim!$C$4)</f>
        <v>2.6659511346769325</v>
      </c>
    </row>
    <row r="431" spans="1:2">
      <c r="A431" s="24">
        <v>427</v>
      </c>
      <c r="B431" s="25">
        <f ca="1">100*(sim!$C$3+NORMSINV(RAND())*sim!$C$4)</f>
        <v>3.7290343166485251</v>
      </c>
    </row>
    <row r="432" spans="1:2">
      <c r="A432" s="24">
        <v>428</v>
      </c>
      <c r="B432" s="25">
        <f ca="1">100*(sim!$C$3+NORMSINV(RAND())*sim!$C$4)</f>
        <v>2.185068131865048</v>
      </c>
    </row>
    <row r="433" spans="1:2">
      <c r="A433" s="24">
        <v>429</v>
      </c>
      <c r="B433" s="25">
        <f ca="1">100*(sim!$C$3+NORMSINV(RAND())*sim!$C$4)</f>
        <v>2.6019550903171811</v>
      </c>
    </row>
    <row r="434" spans="1:2">
      <c r="A434" s="24">
        <v>430</v>
      </c>
      <c r="B434" s="25">
        <f ca="1">100*(sim!$C$3+NORMSINV(RAND())*sim!$C$4)</f>
        <v>1.1987458320766653</v>
      </c>
    </row>
    <row r="435" spans="1:2">
      <c r="A435" s="24">
        <v>431</v>
      </c>
      <c r="B435" s="25">
        <f ca="1">100*(sim!$C$3+NORMSINV(RAND())*sim!$C$4)</f>
        <v>2.5266401301956489</v>
      </c>
    </row>
    <row r="436" spans="1:2">
      <c r="A436" s="24">
        <v>432</v>
      </c>
      <c r="B436" s="25">
        <f ca="1">100*(sim!$C$3+NORMSINV(RAND())*sim!$C$4)</f>
        <v>0.88226242738408089</v>
      </c>
    </row>
    <row r="437" spans="1:2">
      <c r="A437" s="24">
        <v>433</v>
      </c>
      <c r="B437" s="25">
        <f ca="1">100*(sim!$C$3+NORMSINV(RAND())*sim!$C$4)</f>
        <v>1.8645847102736794</v>
      </c>
    </row>
    <row r="438" spans="1:2">
      <c r="A438" s="24">
        <v>434</v>
      </c>
      <c r="B438" s="25">
        <f ca="1">100*(sim!$C$3+NORMSINV(RAND())*sim!$C$4)</f>
        <v>3.9261185833691465</v>
      </c>
    </row>
    <row r="439" spans="1:2">
      <c r="A439" s="24">
        <v>435</v>
      </c>
      <c r="B439" s="25">
        <f ca="1">100*(sim!$C$3+NORMSINV(RAND())*sim!$C$4)</f>
        <v>1.5895433492049378</v>
      </c>
    </row>
    <row r="440" spans="1:2">
      <c r="A440" s="24">
        <v>436</v>
      </c>
      <c r="B440" s="25">
        <f ca="1">100*(sim!$C$3+NORMSINV(RAND())*sim!$C$4)</f>
        <v>1.6589369781078926</v>
      </c>
    </row>
    <row r="441" spans="1:2">
      <c r="A441" s="24">
        <v>437</v>
      </c>
      <c r="B441" s="25">
        <f ca="1">100*(sim!$C$3+NORMSINV(RAND())*sim!$C$4)</f>
        <v>2.9142490939069714</v>
      </c>
    </row>
    <row r="442" spans="1:2">
      <c r="A442" s="24">
        <v>438</v>
      </c>
      <c r="B442" s="25">
        <f ca="1">100*(sim!$C$3+NORMSINV(RAND())*sim!$C$4)</f>
        <v>2.2973681606451541</v>
      </c>
    </row>
    <row r="443" spans="1:2">
      <c r="A443" s="24">
        <v>439</v>
      </c>
      <c r="B443" s="25">
        <f ca="1">100*(sim!$C$3+NORMSINV(RAND())*sim!$C$4)</f>
        <v>2.5543174496509717</v>
      </c>
    </row>
    <row r="444" spans="1:2">
      <c r="A444" s="24">
        <v>440</v>
      </c>
      <c r="B444" s="25">
        <f ca="1">100*(sim!$C$3+NORMSINV(RAND())*sim!$C$4)</f>
        <v>-0.11273381920560606</v>
      </c>
    </row>
    <row r="445" spans="1:2">
      <c r="A445" s="24">
        <v>441</v>
      </c>
      <c r="B445" s="25">
        <f ca="1">100*(sim!$C$3+NORMSINV(RAND())*sim!$C$4)</f>
        <v>0.69242797633699782</v>
      </c>
    </row>
    <row r="446" spans="1:2">
      <c r="A446" s="24">
        <v>442</v>
      </c>
      <c r="B446" s="25">
        <f ca="1">100*(sim!$C$3+NORMSINV(RAND())*sim!$C$4)</f>
        <v>2.5295502824446974</v>
      </c>
    </row>
    <row r="447" spans="1:2">
      <c r="A447" s="24">
        <v>443</v>
      </c>
      <c r="B447" s="25">
        <f ca="1">100*(sim!$C$3+NORMSINV(RAND())*sim!$C$4)</f>
        <v>0.21489875717987522</v>
      </c>
    </row>
    <row r="448" spans="1:2">
      <c r="A448" s="24">
        <v>444</v>
      </c>
      <c r="B448" s="25">
        <f ca="1">100*(sim!$C$3+NORMSINV(RAND())*sim!$C$4)</f>
        <v>1.2734771705977397</v>
      </c>
    </row>
    <row r="449" spans="1:2">
      <c r="A449" s="24">
        <v>445</v>
      </c>
      <c r="B449" s="25">
        <f ca="1">100*(sim!$C$3+NORMSINV(RAND())*sim!$C$4)</f>
        <v>1.6070914705075465</v>
      </c>
    </row>
    <row r="450" spans="1:2">
      <c r="A450" s="24">
        <v>446</v>
      </c>
      <c r="B450" s="25">
        <f ca="1">100*(sim!$C$3+NORMSINV(RAND())*sim!$C$4)</f>
        <v>2.454451367542668</v>
      </c>
    </row>
    <row r="451" spans="1:2">
      <c r="A451" s="24">
        <v>447</v>
      </c>
      <c r="B451" s="25">
        <f ca="1">100*(sim!$C$3+NORMSINV(RAND())*sim!$C$4)</f>
        <v>1.9477725240073158</v>
      </c>
    </row>
    <row r="452" spans="1:2">
      <c r="A452" s="24">
        <v>448</v>
      </c>
      <c r="B452" s="25">
        <f ca="1">100*(sim!$C$3+NORMSINV(RAND())*sim!$C$4)</f>
        <v>2.7527642274526216</v>
      </c>
    </row>
    <row r="453" spans="1:2">
      <c r="A453" s="24">
        <v>449</v>
      </c>
      <c r="B453" s="25">
        <f ca="1">100*(sim!$C$3+NORMSINV(RAND())*sim!$C$4)</f>
        <v>3.0387519622844259</v>
      </c>
    </row>
    <row r="454" spans="1:2">
      <c r="A454" s="24">
        <v>450</v>
      </c>
      <c r="B454" s="25">
        <f ca="1">100*(sim!$C$3+NORMSINV(RAND())*sim!$C$4)</f>
        <v>1.6044299181779118</v>
      </c>
    </row>
    <row r="455" spans="1:2">
      <c r="A455" s="24">
        <v>451</v>
      </c>
      <c r="B455" s="25">
        <f ca="1">100*(sim!$C$3+NORMSINV(RAND())*sim!$C$4)</f>
        <v>3.093281132343932</v>
      </c>
    </row>
    <row r="456" spans="1:2">
      <c r="A456" s="24">
        <v>452</v>
      </c>
      <c r="B456" s="25">
        <f ca="1">100*(sim!$C$3+NORMSINV(RAND())*sim!$C$4)</f>
        <v>2.9658285918125791</v>
      </c>
    </row>
    <row r="457" spans="1:2">
      <c r="A457" s="24">
        <v>453</v>
      </c>
      <c r="B457" s="25">
        <f ca="1">100*(sim!$C$3+NORMSINV(RAND())*sim!$C$4)</f>
        <v>1.0159448101652186</v>
      </c>
    </row>
    <row r="458" spans="1:2">
      <c r="A458" s="24">
        <v>454</v>
      </c>
      <c r="B458" s="25">
        <f ca="1">100*(sim!$C$3+NORMSINV(RAND())*sim!$C$4)</f>
        <v>0.89427783934355309</v>
      </c>
    </row>
    <row r="459" spans="1:2">
      <c r="A459" s="24">
        <v>455</v>
      </c>
      <c r="B459" s="25">
        <f ca="1">100*(sim!$C$3+NORMSINV(RAND())*sim!$C$4)</f>
        <v>1.7596852649335755</v>
      </c>
    </row>
    <row r="460" spans="1:2">
      <c r="A460" s="24">
        <v>456</v>
      </c>
      <c r="B460" s="25">
        <f ca="1">100*(sim!$C$3+NORMSINV(RAND())*sim!$C$4)</f>
        <v>3.4335320945663188</v>
      </c>
    </row>
    <row r="461" spans="1:2">
      <c r="A461" s="24">
        <v>457</v>
      </c>
      <c r="B461" s="25">
        <f ca="1">100*(sim!$C$3+NORMSINV(RAND())*sim!$C$4)</f>
        <v>2.1419451905261027</v>
      </c>
    </row>
    <row r="462" spans="1:2">
      <c r="A462" s="24">
        <v>458</v>
      </c>
      <c r="B462" s="25">
        <f ca="1">100*(sim!$C$3+NORMSINV(RAND())*sim!$C$4)</f>
        <v>1.1817060266411645</v>
      </c>
    </row>
    <row r="463" spans="1:2">
      <c r="A463" s="24">
        <v>459</v>
      </c>
      <c r="B463" s="25">
        <f ca="1">100*(sim!$C$3+NORMSINV(RAND())*sim!$C$4)</f>
        <v>0.66429806151483484</v>
      </c>
    </row>
    <row r="464" spans="1:2">
      <c r="A464" s="24">
        <v>460</v>
      </c>
      <c r="B464" s="25">
        <f ca="1">100*(sim!$C$3+NORMSINV(RAND())*sim!$C$4)</f>
        <v>2.4963231597906206</v>
      </c>
    </row>
    <row r="465" spans="1:2">
      <c r="A465" s="24">
        <v>461</v>
      </c>
      <c r="B465" s="25">
        <f ca="1">100*(sim!$C$3+NORMSINV(RAND())*sim!$C$4)</f>
        <v>2.0617477763630503</v>
      </c>
    </row>
    <row r="466" spans="1:2">
      <c r="A466" s="24">
        <v>462</v>
      </c>
      <c r="B466" s="25">
        <f ca="1">100*(sim!$C$3+NORMSINV(RAND())*sim!$C$4)</f>
        <v>2.9626567445530627</v>
      </c>
    </row>
    <row r="467" spans="1:2">
      <c r="A467" s="24">
        <v>463</v>
      </c>
      <c r="B467" s="25">
        <f ca="1">100*(sim!$C$3+NORMSINV(RAND())*sim!$C$4)</f>
        <v>0.85260492292552703</v>
      </c>
    </row>
    <row r="468" spans="1:2">
      <c r="A468" s="24">
        <v>464</v>
      </c>
      <c r="B468" s="25">
        <f ca="1">100*(sim!$C$3+NORMSINV(RAND())*sim!$C$4)</f>
        <v>3.6160053432104489</v>
      </c>
    </row>
    <row r="469" spans="1:2">
      <c r="A469" s="24">
        <v>465</v>
      </c>
      <c r="B469" s="25">
        <f ca="1">100*(sim!$C$3+NORMSINV(RAND())*sim!$C$4)</f>
        <v>0.65551383469546898</v>
      </c>
    </row>
    <row r="470" spans="1:2">
      <c r="A470" s="24">
        <v>466</v>
      </c>
      <c r="B470" s="25">
        <f ca="1">100*(sim!$C$3+NORMSINV(RAND())*sim!$C$4)</f>
        <v>2.8439558604604072</v>
      </c>
    </row>
    <row r="471" spans="1:2">
      <c r="A471" s="24">
        <v>467</v>
      </c>
      <c r="B471" s="25">
        <f ca="1">100*(sim!$C$3+NORMSINV(RAND())*sim!$C$4)</f>
        <v>3.4177660445178448</v>
      </c>
    </row>
    <row r="472" spans="1:2">
      <c r="A472" s="24">
        <v>468</v>
      </c>
      <c r="B472" s="25">
        <f ca="1">100*(sim!$C$3+NORMSINV(RAND())*sim!$C$4)</f>
        <v>2.9364092864214908</v>
      </c>
    </row>
    <row r="473" spans="1:2">
      <c r="A473" s="24">
        <v>469</v>
      </c>
      <c r="B473" s="25">
        <f ca="1">100*(sim!$C$3+NORMSINV(RAND())*sim!$C$4)</f>
        <v>2.234767283901689</v>
      </c>
    </row>
    <row r="474" spans="1:2">
      <c r="A474" s="24">
        <v>470</v>
      </c>
      <c r="B474" s="25">
        <f ca="1">100*(sim!$C$3+NORMSINV(RAND())*sim!$C$4)</f>
        <v>2.1327724576555842</v>
      </c>
    </row>
    <row r="475" spans="1:2">
      <c r="A475" s="24">
        <v>471</v>
      </c>
      <c r="B475" s="25">
        <f ca="1">100*(sim!$C$3+NORMSINV(RAND())*sim!$C$4)</f>
        <v>0.80783251564922698</v>
      </c>
    </row>
    <row r="476" spans="1:2">
      <c r="A476" s="24">
        <v>472</v>
      </c>
      <c r="B476" s="25">
        <f ca="1">100*(sim!$C$3+NORMSINV(RAND())*sim!$C$4)</f>
        <v>1.4745024400942746</v>
      </c>
    </row>
    <row r="477" spans="1:2">
      <c r="A477" s="24">
        <v>473</v>
      </c>
      <c r="B477" s="25">
        <f ca="1">100*(sim!$C$3+NORMSINV(RAND())*sim!$C$4)</f>
        <v>3.255298510005991</v>
      </c>
    </row>
    <row r="478" spans="1:2">
      <c r="A478" s="24">
        <v>474</v>
      </c>
      <c r="B478" s="25">
        <f ca="1">100*(sim!$C$3+NORMSINV(RAND())*sim!$C$4)</f>
        <v>1.6360573794926565</v>
      </c>
    </row>
    <row r="479" spans="1:2">
      <c r="A479" s="24">
        <v>475</v>
      </c>
      <c r="B479" s="25">
        <f ca="1">100*(sim!$C$3+NORMSINV(RAND())*sim!$C$4)</f>
        <v>0.30123023428010942</v>
      </c>
    </row>
    <row r="480" spans="1:2">
      <c r="A480" s="24">
        <v>476</v>
      </c>
      <c r="B480" s="25">
        <f ca="1">100*(sim!$C$3+NORMSINV(RAND())*sim!$C$4)</f>
        <v>0.1003502767203613</v>
      </c>
    </row>
    <row r="481" spans="1:2">
      <c r="A481" s="24">
        <v>477</v>
      </c>
      <c r="B481" s="25">
        <f ca="1">100*(sim!$C$3+NORMSINV(RAND())*sim!$C$4)</f>
        <v>2.1200222262103305</v>
      </c>
    </row>
    <row r="482" spans="1:2">
      <c r="A482" s="24">
        <v>478</v>
      </c>
      <c r="B482" s="25">
        <f ca="1">100*(sim!$C$3+NORMSINV(RAND())*sim!$C$4)</f>
        <v>0.94887009401825462</v>
      </c>
    </row>
    <row r="483" spans="1:2">
      <c r="A483" s="24">
        <v>479</v>
      </c>
      <c r="B483" s="25">
        <f ca="1">100*(sim!$C$3+NORMSINV(RAND())*sim!$C$4)</f>
        <v>1.6017820173823991</v>
      </c>
    </row>
    <row r="484" spans="1:2">
      <c r="A484" s="24">
        <v>480</v>
      </c>
      <c r="B484" s="25">
        <f ca="1">100*(sim!$C$3+NORMSINV(RAND())*sim!$C$4)</f>
        <v>1.5595558676330576</v>
      </c>
    </row>
    <row r="485" spans="1:2">
      <c r="A485" s="24">
        <v>481</v>
      </c>
      <c r="B485" s="25">
        <f ca="1">100*(sim!$C$3+NORMSINV(RAND())*sim!$C$4)</f>
        <v>1.3205258547942771</v>
      </c>
    </row>
    <row r="486" spans="1:2">
      <c r="A486" s="24">
        <v>482</v>
      </c>
      <c r="B486" s="25">
        <f ca="1">100*(sim!$C$3+NORMSINV(RAND())*sim!$C$4)</f>
        <v>1.5388941290482885</v>
      </c>
    </row>
    <row r="487" spans="1:2">
      <c r="A487" s="24">
        <v>483</v>
      </c>
      <c r="B487" s="25">
        <f ca="1">100*(sim!$C$3+NORMSINV(RAND())*sim!$C$4)</f>
        <v>2.2893690259346755</v>
      </c>
    </row>
    <row r="488" spans="1:2">
      <c r="A488" s="24">
        <v>484</v>
      </c>
      <c r="B488" s="25">
        <f ca="1">100*(sim!$C$3+NORMSINV(RAND())*sim!$C$4)</f>
        <v>1.0708720440218906</v>
      </c>
    </row>
    <row r="489" spans="1:2">
      <c r="A489" s="24">
        <v>485</v>
      </c>
      <c r="B489" s="25">
        <f ca="1">100*(sim!$C$3+NORMSINV(RAND())*sim!$C$4)</f>
        <v>4.9290352598508509</v>
      </c>
    </row>
    <row r="490" spans="1:2">
      <c r="A490" s="24">
        <v>486</v>
      </c>
      <c r="B490" s="25">
        <f ca="1">100*(sim!$C$3+NORMSINV(RAND())*sim!$C$4)</f>
        <v>1.9584202652210509</v>
      </c>
    </row>
    <row r="491" spans="1:2">
      <c r="A491" s="24">
        <v>487</v>
      </c>
      <c r="B491" s="25">
        <f ca="1">100*(sim!$C$3+NORMSINV(RAND())*sim!$C$4)</f>
        <v>3.2946526674842103</v>
      </c>
    </row>
    <row r="492" spans="1:2">
      <c r="A492" s="24">
        <v>488</v>
      </c>
      <c r="B492" s="25">
        <f ca="1">100*(sim!$C$3+NORMSINV(RAND())*sim!$C$4)</f>
        <v>2.2555683367620682</v>
      </c>
    </row>
    <row r="493" spans="1:2">
      <c r="A493" s="24">
        <v>489</v>
      </c>
      <c r="B493" s="25">
        <f ca="1">100*(sim!$C$3+NORMSINV(RAND())*sim!$C$4)</f>
        <v>-0.44106806815833627</v>
      </c>
    </row>
    <row r="494" spans="1:2">
      <c r="A494" s="24">
        <v>490</v>
      </c>
      <c r="B494" s="25">
        <f ca="1">100*(sim!$C$3+NORMSINV(RAND())*sim!$C$4)</f>
        <v>1.6137433303824624</v>
      </c>
    </row>
    <row r="495" spans="1:2">
      <c r="A495" s="24">
        <v>491</v>
      </c>
      <c r="B495" s="25">
        <f ca="1">100*(sim!$C$3+NORMSINV(RAND())*sim!$C$4)</f>
        <v>2.9926743224360202</v>
      </c>
    </row>
    <row r="496" spans="1:2">
      <c r="A496" s="24">
        <v>492</v>
      </c>
      <c r="B496" s="25">
        <f ca="1">100*(sim!$C$3+NORMSINV(RAND())*sim!$C$4)</f>
        <v>0.91383626132364548</v>
      </c>
    </row>
    <row r="497" spans="1:2">
      <c r="A497" s="24">
        <v>493</v>
      </c>
      <c r="B497" s="25">
        <f ca="1">100*(sim!$C$3+NORMSINV(RAND())*sim!$C$4)</f>
        <v>0.22058633007724543</v>
      </c>
    </row>
    <row r="498" spans="1:2">
      <c r="A498" s="24">
        <v>494</v>
      </c>
      <c r="B498" s="25">
        <f ca="1">100*(sim!$C$3+NORMSINV(RAND())*sim!$C$4)</f>
        <v>4.00621122013077</v>
      </c>
    </row>
    <row r="499" spans="1:2">
      <c r="A499" s="24">
        <v>495</v>
      </c>
      <c r="B499" s="25">
        <f ca="1">100*(sim!$C$3+NORMSINV(RAND())*sim!$C$4)</f>
        <v>2.6940900923499904</v>
      </c>
    </row>
    <row r="500" spans="1:2">
      <c r="A500" s="24">
        <v>496</v>
      </c>
      <c r="B500" s="25">
        <f ca="1">100*(sim!$C$3+NORMSINV(RAND())*sim!$C$4)</f>
        <v>3.4106486978503887</v>
      </c>
    </row>
    <row r="501" spans="1:2">
      <c r="A501" s="24">
        <v>497</v>
      </c>
      <c r="B501" s="25">
        <f ca="1">100*(sim!$C$3+NORMSINV(RAND())*sim!$C$4)</f>
        <v>1.6763694941883247</v>
      </c>
    </row>
    <row r="502" spans="1:2">
      <c r="A502" s="24">
        <v>498</v>
      </c>
      <c r="B502" s="25">
        <f ca="1">100*(sim!$C$3+NORMSINV(RAND())*sim!$C$4)</f>
        <v>2.1681106868235229</v>
      </c>
    </row>
    <row r="503" spans="1:2">
      <c r="A503" s="24">
        <v>499</v>
      </c>
      <c r="B503" s="25">
        <f ca="1">100*(sim!$C$3+NORMSINV(RAND())*sim!$C$4)</f>
        <v>2.1087339952574258</v>
      </c>
    </row>
    <row r="504" spans="1:2">
      <c r="A504" s="24">
        <v>500</v>
      </c>
      <c r="B504" s="25">
        <f ca="1">100*(sim!$C$3+NORMSINV(RAND())*sim!$C$4)</f>
        <v>3.9563769462644269</v>
      </c>
    </row>
  </sheetData>
  <pageMargins left="0.7" right="0.7" top="0.75" bottom="0.75" header="0.3" footer="0.3"/>
  <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3</vt:i4>
      </vt:variant>
      <vt:variant>
        <vt:lpstr>Named Ranges</vt:lpstr>
      </vt:variant>
      <vt:variant>
        <vt:i4>8</vt:i4>
      </vt:variant>
    </vt:vector>
  </HeadingPairs>
  <TitlesOfParts>
    <vt:vector size="11" baseType="lpstr">
      <vt:lpstr>sim</vt:lpstr>
      <vt:lpstr>histogram100</vt:lpstr>
      <vt:lpstr>histogram500</vt:lpstr>
      <vt:lpstr>adjchol</vt:lpstr>
      <vt:lpstr>adjcorrs</vt:lpstr>
      <vt:lpstr>assetnames</vt:lpstr>
      <vt:lpstr>chol</vt:lpstr>
      <vt:lpstr>corrs</vt:lpstr>
      <vt:lpstr>rands</vt:lpstr>
      <vt:lpstr>randscorrel</vt:lpstr>
      <vt:lpstr>simreturns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Roberts Grava</dc:creator>
  <cp:lastModifiedBy>Alan Cubbon</cp:lastModifiedBy>
  <dcterms:created xsi:type="dcterms:W3CDTF">2009-08-03T16:47:03Z</dcterms:created>
  <dcterms:modified xsi:type="dcterms:W3CDTF">2025-09-18T07:23:57Z</dcterms:modified>
</cp:coreProperties>
</file>