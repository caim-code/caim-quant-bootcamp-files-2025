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miholdingsltd-my.sharepoint.com/personal/roberts_grava_caiml_com/Documents/CAIM/2025/2510 Quant Bootcamp/caim-quant-bootcamp-files-2025/"/>
    </mc:Choice>
  </mc:AlternateContent>
  <xr:revisionPtr revIDLastSave="0" documentId="13_ncr:1_{39BCFF5C-805F-475D-B095-5B16D394C3A4}" xr6:coauthVersionLast="47" xr6:coauthVersionMax="47" xr10:uidLastSave="{00000000-0000-0000-0000-000000000000}"/>
  <bookViews>
    <workbookView xWindow="340" yWindow="1160" windowWidth="21600" windowHeight="10160" xr2:uid="{00000000-000D-0000-FFFF-FFFF00000000}"/>
  </bookViews>
  <sheets>
    <sheet name="sim" sheetId="1" r:id="rId1"/>
    <sheet name="histogram100" sheetId="2" r:id="rId2"/>
    <sheet name="histogram500" sheetId="3" r:id="rId3"/>
  </sheets>
  <functionGroups builtInGroupCount="19"/>
  <definedNames>
    <definedName name="adjchol">sim!$H$13:$J$15</definedName>
    <definedName name="adjcorrs">sim!$H$8:$J$10</definedName>
    <definedName name="assetnames">sim!$C$2:$E$2</definedName>
    <definedName name="chol">sim!$C$13:$E$15</definedName>
    <definedName name="corrs">sim!$C$8:$E$10</definedName>
    <definedName name="rands">sim!$C$28:$E$127</definedName>
    <definedName name="randscorrel">sim!$H$28:$J$127</definedName>
    <definedName name="simreturns">sim!$M$28:$O$127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4" i="3" l="1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O5" i="3" l="1" a="1"/>
  <c r="O5" i="3" s="1"/>
  <c r="O24" i="3" a="1"/>
  <c r="O24" i="3" s="1"/>
  <c r="O8" i="3" a="1"/>
  <c r="O8" i="3" s="1"/>
  <c r="O7" i="3" a="1"/>
  <c r="O7" i="3" s="1"/>
  <c r="O23" i="3" a="1"/>
  <c r="O23" i="3" s="1"/>
  <c r="O6" i="3" a="1"/>
  <c r="O6" i="3" s="1"/>
  <c r="O15" i="3" a="1"/>
  <c r="O15" i="3" s="1"/>
  <c r="O31" i="3" a="1"/>
  <c r="O31" i="3" s="1"/>
  <c r="O17" i="3" a="1"/>
  <c r="O17" i="3" s="1"/>
  <c r="O33" i="3" a="1"/>
  <c r="O33" i="3" s="1"/>
  <c r="O9" i="3" a="1"/>
  <c r="O9" i="3" s="1"/>
  <c r="O25" i="3" a="1"/>
  <c r="O25" i="3" s="1"/>
  <c r="O16" i="3" a="1"/>
  <c r="O16" i="3" s="1"/>
  <c r="O18" i="3" a="1"/>
  <c r="O18" i="3" s="1"/>
  <c r="O34" i="3" a="1"/>
  <c r="O34" i="3" s="1"/>
  <c r="O10" i="3" a="1"/>
  <c r="O10" i="3" s="1"/>
  <c r="O26" i="3" a="1"/>
  <c r="O26" i="3" s="1"/>
  <c r="O11" i="3" a="1"/>
  <c r="O11" i="3" s="1"/>
  <c r="O27" i="3" a="1"/>
  <c r="O27" i="3" s="1"/>
  <c r="O32" i="3" a="1"/>
  <c r="O32" i="3" s="1"/>
  <c r="O19" i="3" a="1"/>
  <c r="O19" i="3" s="1"/>
  <c r="O35" i="3" a="1"/>
  <c r="O35" i="3" s="1"/>
  <c r="O20" i="3" a="1"/>
  <c r="O20" i="3" s="1"/>
  <c r="O36" i="3" a="1"/>
  <c r="O36" i="3" s="1"/>
  <c r="O12" i="3" a="1"/>
  <c r="O12" i="3" s="1"/>
  <c r="O28" i="3" a="1"/>
  <c r="O28" i="3" s="1"/>
  <c r="O21" i="3" a="1"/>
  <c r="O21" i="3" s="1"/>
  <c r="O37" i="3" a="1"/>
  <c r="O37" i="3" s="1"/>
  <c r="O13" i="3" a="1"/>
  <c r="O13" i="3" s="1"/>
  <c r="O29" i="3" a="1"/>
  <c r="O29" i="3" s="1"/>
  <c r="O22" i="3" a="1"/>
  <c r="O22" i="3" s="1"/>
  <c r="O14" i="3" a="1"/>
  <c r="O14" i="3" s="1"/>
  <c r="O30" i="3" a="1"/>
  <c r="O30" i="3" s="1"/>
  <c r="E6" i="3" a="1"/>
  <c r="E6" i="3" s="1"/>
  <c r="E85" i="3" a="1"/>
  <c r="E85" i="3" s="1"/>
  <c r="E86" i="3" a="1"/>
  <c r="E86" i="3" s="1"/>
  <c r="E14" i="3" a="1"/>
  <c r="E14" i="3" s="1"/>
  <c r="E12" i="3" a="1"/>
  <c r="E12" i="3" s="1"/>
  <c r="E70" i="3" a="1"/>
  <c r="E70" i="3" s="1"/>
  <c r="E54" i="3" a="1"/>
  <c r="E54" i="3" s="1"/>
  <c r="E38" i="3" a="1"/>
  <c r="E38" i="3" s="1"/>
  <c r="E22" i="3" a="1"/>
  <c r="E22" i="3" s="1"/>
  <c r="E61" i="3" a="1"/>
  <c r="E61" i="3" s="1"/>
  <c r="E53" i="3" a="1"/>
  <c r="E53" i="3" s="1"/>
  <c r="E45" i="3" a="1"/>
  <c r="E45" i="3" s="1"/>
  <c r="E37" i="3" a="1"/>
  <c r="E37" i="3" s="1"/>
  <c r="E29" i="3" a="1"/>
  <c r="E29" i="3" s="1"/>
  <c r="E21" i="3" a="1"/>
  <c r="E21" i="3" s="1"/>
  <c r="E13" i="3" a="1"/>
  <c r="E13" i="3" s="1"/>
  <c r="E69" i="3" a="1"/>
  <c r="E69" i="3" s="1"/>
  <c r="E84" i="3" a="1"/>
  <c r="E84" i="3" s="1"/>
  <c r="E68" i="3" a="1"/>
  <c r="E68" i="3" s="1"/>
  <c r="E52" i="3" a="1"/>
  <c r="E52" i="3" s="1"/>
  <c r="E36" i="3" a="1"/>
  <c r="E36" i="3" s="1"/>
  <c r="E20" i="3" a="1"/>
  <c r="E20" i="3" s="1"/>
  <c r="E77" i="3" a="1"/>
  <c r="E77" i="3" s="1"/>
  <c r="E76" i="3" a="1"/>
  <c r="E76" i="3" s="1"/>
  <c r="E60" i="3" a="1"/>
  <c r="E60" i="3" s="1"/>
  <c r="E44" i="3" a="1"/>
  <c r="E44" i="3" s="1"/>
  <c r="E28" i="3" a="1"/>
  <c r="E28" i="3" s="1"/>
  <c r="E75" i="3" a="1"/>
  <c r="E75" i="3" s="1"/>
  <c r="E59" i="3" a="1"/>
  <c r="E59" i="3" s="1"/>
  <c r="E43" i="3" a="1"/>
  <c r="E43" i="3" s="1"/>
  <c r="E27" i="3" a="1"/>
  <c r="E27" i="3" s="1"/>
  <c r="E11" i="3" a="1"/>
  <c r="E11" i="3" s="1"/>
  <c r="E83" i="3" a="1"/>
  <c r="E83" i="3" s="1"/>
  <c r="E67" i="3" a="1"/>
  <c r="E67" i="3" s="1"/>
  <c r="E51" i="3" a="1"/>
  <c r="E51" i="3" s="1"/>
  <c r="E35" i="3" a="1"/>
  <c r="E35" i="3" s="1"/>
  <c r="E19" i="3" a="1"/>
  <c r="E19" i="3" s="1"/>
  <c r="E82" i="3" a="1"/>
  <c r="E82" i="3" s="1"/>
  <c r="E66" i="3" a="1"/>
  <c r="E66" i="3" s="1"/>
  <c r="E50" i="3" a="1"/>
  <c r="E50" i="3" s="1"/>
  <c r="E34" i="3" a="1"/>
  <c r="E34" i="3" s="1"/>
  <c r="E18" i="3" a="1"/>
  <c r="E18" i="3" s="1"/>
  <c r="E74" i="3" a="1"/>
  <c r="E74" i="3" s="1"/>
  <c r="E58" i="3" a="1"/>
  <c r="E58" i="3" s="1"/>
  <c r="E42" i="3" a="1"/>
  <c r="E42" i="3" s="1"/>
  <c r="E26" i="3" a="1"/>
  <c r="E26" i="3" s="1"/>
  <c r="E10" i="3" a="1"/>
  <c r="E10" i="3" s="1"/>
  <c r="E73" i="3" a="1"/>
  <c r="E73" i="3" s="1"/>
  <c r="E57" i="3" a="1"/>
  <c r="E57" i="3" s="1"/>
  <c r="E41" i="3" a="1"/>
  <c r="E41" i="3" s="1"/>
  <c r="E25" i="3" a="1"/>
  <c r="E25" i="3" s="1"/>
  <c r="E9" i="3" a="1"/>
  <c r="E9" i="3" s="1"/>
  <c r="E81" i="3" a="1"/>
  <c r="E81" i="3" s="1"/>
  <c r="E65" i="3" a="1"/>
  <c r="E65" i="3" s="1"/>
  <c r="E49" i="3" a="1"/>
  <c r="E49" i="3" s="1"/>
  <c r="E33" i="3" a="1"/>
  <c r="E33" i="3" s="1"/>
  <c r="E17" i="3" a="1"/>
  <c r="E17" i="3" s="1"/>
  <c r="E5" i="3" a="1"/>
  <c r="E5" i="3" s="1"/>
  <c r="E72" i="3" a="1"/>
  <c r="E72" i="3" s="1"/>
  <c r="E56" i="3" a="1"/>
  <c r="E56" i="3" s="1"/>
  <c r="E40" i="3" a="1"/>
  <c r="E40" i="3" s="1"/>
  <c r="E24" i="3" a="1"/>
  <c r="E24" i="3" s="1"/>
  <c r="E8" i="3" a="1"/>
  <c r="E8" i="3" s="1"/>
  <c r="E80" i="3" a="1"/>
  <c r="E80" i="3" s="1"/>
  <c r="E64" i="3" a="1"/>
  <c r="E64" i="3" s="1"/>
  <c r="E48" i="3" a="1"/>
  <c r="E48" i="3" s="1"/>
  <c r="E32" i="3" a="1"/>
  <c r="E32" i="3" s="1"/>
  <c r="E16" i="3" a="1"/>
  <c r="E16" i="3" s="1"/>
  <c r="E71" i="3" a="1"/>
  <c r="E71" i="3" s="1"/>
  <c r="E55" i="3" a="1"/>
  <c r="E55" i="3" s="1"/>
  <c r="E39" i="3" a="1"/>
  <c r="E39" i="3" s="1"/>
  <c r="E23" i="3" a="1"/>
  <c r="E23" i="3" s="1"/>
  <c r="E7" i="3" a="1"/>
  <c r="E7" i="3" s="1"/>
  <c r="E79" i="3" a="1"/>
  <c r="E79" i="3" s="1"/>
  <c r="E63" i="3" a="1"/>
  <c r="E63" i="3" s="1"/>
  <c r="E47" i="3" a="1"/>
  <c r="E47" i="3" s="1"/>
  <c r="E31" i="3" a="1"/>
  <c r="E31" i="3" s="1"/>
  <c r="E15" i="3" a="1"/>
  <c r="E15" i="3" s="1"/>
  <c r="E78" i="3" a="1"/>
  <c r="E78" i="3" s="1"/>
  <c r="E62" i="3" a="1"/>
  <c r="E62" i="3" s="1"/>
  <c r="E46" i="3" a="1"/>
  <c r="E46" i="3" s="1"/>
  <c r="E30" i="3" a="1"/>
  <c r="E30" i="3" s="1"/>
  <c r="M23" i="1" a="1"/>
  <c r="O23" i="1" s="1"/>
  <c r="G8" i="1" a="1"/>
  <c r="G10" i="1" s="1"/>
  <c r="H7" i="1" a="1"/>
  <c r="J7" i="1" s="1"/>
  <c r="L19" i="1" a="1"/>
  <c r="L21" i="1" s="1"/>
  <c r="M18" i="1" a="1"/>
  <c r="O18" i="1" s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D28" i="1"/>
  <c r="E28" i="1"/>
  <c r="C28" i="1"/>
  <c r="B8" i="1" a="1"/>
  <c r="B8" i="1" s="1"/>
  <c r="C7" i="1" a="1"/>
  <c r="C7" i="1" s="1"/>
  <c r="M18" i="1"/>
  <c r="N18" i="1"/>
  <c r="L19" i="1"/>
  <c r="L20" i="1"/>
  <c r="C13" i="1" a="1"/>
  <c r="H8" i="1" a="1"/>
  <c r="D7" i="1" l="1"/>
  <c r="M23" i="1"/>
  <c r="G9" i="1"/>
  <c r="G8" i="1"/>
  <c r="I7" i="1"/>
  <c r="H7" i="1"/>
  <c r="N23" i="1"/>
  <c r="E7" i="1"/>
  <c r="C25" i="1"/>
  <c r="D25" i="1"/>
  <c r="H8" i="1"/>
  <c r="J9" i="1"/>
  <c r="I8" i="1"/>
  <c r="H9" i="1"/>
  <c r="I10" i="1"/>
  <c r="I9" i="1"/>
  <c r="J10" i="1"/>
  <c r="D15" i="1"/>
  <c r="E13" i="1"/>
  <c r="D13" i="1"/>
  <c r="D20" i="1"/>
  <c r="D24" i="1"/>
  <c r="C20" i="1"/>
  <c r="C24" i="1"/>
  <c r="D19" i="1"/>
  <c r="C19" i="1"/>
  <c r="C21" i="1"/>
  <c r="E19" i="1"/>
  <c r="E21" i="1"/>
  <c r="E24" i="1"/>
  <c r="E20" i="1"/>
  <c r="D21" i="1"/>
  <c r="E25" i="1"/>
  <c r="B10" i="1"/>
  <c r="B9" i="1"/>
  <c r="D14" i="1"/>
  <c r="C15" i="1"/>
  <c r="E15" i="1"/>
  <c r="C14" i="1"/>
  <c r="E14" i="1"/>
  <c r="C13" i="1"/>
  <c r="H10" i="1"/>
  <c r="J8" i="1"/>
  <c r="H13" i="1" a="1"/>
  <c r="I13" i="1" l="1"/>
  <c r="J13" i="1"/>
  <c r="J15" i="1"/>
  <c r="H15" i="1"/>
  <c r="I14" i="1"/>
  <c r="J14" i="1"/>
  <c r="H13" i="1"/>
  <c r="H46" i="1" s="1" a="1"/>
  <c r="I15" i="1"/>
  <c r="H14" i="1"/>
  <c r="H99" i="1" a="1"/>
  <c r="H59" i="1" a="1"/>
  <c r="H109" i="1" a="1"/>
  <c r="H56" i="1" l="1" a="1"/>
  <c r="I56" i="1" s="1"/>
  <c r="N56" i="1" s="1"/>
  <c r="H88" i="1" a="1"/>
  <c r="I88" i="1" s="1"/>
  <c r="N88" i="1" s="1"/>
  <c r="H124" i="1" a="1"/>
  <c r="J124" i="1" s="1"/>
  <c r="O124" i="1" s="1"/>
  <c r="H74" i="1" a="1"/>
  <c r="I74" i="1" s="1"/>
  <c r="N74" i="1" s="1"/>
  <c r="H76" i="1" a="1"/>
  <c r="J76" i="1" s="1"/>
  <c r="O76" i="1" s="1"/>
  <c r="H78" i="1" a="1"/>
  <c r="I78" i="1" s="1"/>
  <c r="N78" i="1" s="1"/>
  <c r="H120" i="1" a="1"/>
  <c r="I120" i="1" s="1"/>
  <c r="N120" i="1" s="1"/>
  <c r="H54" i="1" a="1"/>
  <c r="I54" i="1" s="1"/>
  <c r="N54" i="1" s="1"/>
  <c r="H85" i="1" a="1"/>
  <c r="H85" i="1" s="1"/>
  <c r="M85" i="1" s="1"/>
  <c r="H29" i="1" a="1"/>
  <c r="J29" i="1" s="1"/>
  <c r="O29" i="1" s="1"/>
  <c r="H35" i="1" a="1"/>
  <c r="I35" i="1" s="1"/>
  <c r="N35" i="1" s="1"/>
  <c r="H96" i="1" a="1"/>
  <c r="J96" i="1" s="1"/>
  <c r="O96" i="1" s="1"/>
  <c r="H95" i="1" a="1"/>
  <c r="H95" i="1" s="1"/>
  <c r="M95" i="1" s="1"/>
  <c r="H93" i="1" a="1"/>
  <c r="H93" i="1" s="1"/>
  <c r="M93" i="1" s="1"/>
  <c r="H61" i="1" a="1"/>
  <c r="H61" i="1" s="1"/>
  <c r="M61" i="1" s="1"/>
  <c r="H83" i="1" a="1"/>
  <c r="H83" i="1" s="1"/>
  <c r="M83" i="1" s="1"/>
  <c r="H102" i="1" a="1"/>
  <c r="H102" i="1" s="1"/>
  <c r="M102" i="1" s="1"/>
  <c r="H63" i="1" a="1"/>
  <c r="I63" i="1" s="1"/>
  <c r="N63" i="1" s="1"/>
  <c r="H80" i="1" a="1"/>
  <c r="J80" i="1" s="1"/>
  <c r="O80" i="1" s="1"/>
  <c r="H87" i="1" a="1"/>
  <c r="I87" i="1" s="1"/>
  <c r="N87" i="1" s="1"/>
  <c r="H69" i="1" a="1"/>
  <c r="I69" i="1" s="1"/>
  <c r="N69" i="1" s="1"/>
  <c r="H79" i="1" a="1"/>
  <c r="J79" i="1" s="1"/>
  <c r="O79" i="1" s="1"/>
  <c r="H70" i="1" a="1"/>
  <c r="I70" i="1" s="1"/>
  <c r="N70" i="1" s="1"/>
  <c r="H53" i="1" a="1"/>
  <c r="H53" i="1" s="1"/>
  <c r="M53" i="1" s="1"/>
  <c r="H55" i="1" a="1"/>
  <c r="J55" i="1" s="1"/>
  <c r="O55" i="1" s="1"/>
  <c r="H101" i="1" a="1"/>
  <c r="I101" i="1" s="1"/>
  <c r="N101" i="1" s="1"/>
  <c r="H48" i="1" a="1"/>
  <c r="J48" i="1" s="1"/>
  <c r="O48" i="1" s="1"/>
  <c r="H107" i="1" a="1"/>
  <c r="I107" i="1" s="1"/>
  <c r="N107" i="1" s="1"/>
  <c r="H50" i="1" a="1"/>
  <c r="H50" i="1" s="1"/>
  <c r="M50" i="1" s="1"/>
  <c r="H33" i="1" a="1"/>
  <c r="I33" i="1" s="1"/>
  <c r="N33" i="1" s="1"/>
  <c r="H98" i="1" a="1"/>
  <c r="H98" i="1" s="1"/>
  <c r="M98" i="1" s="1"/>
  <c r="H90" i="1" a="1"/>
  <c r="H90" i="1" s="1"/>
  <c r="M90" i="1" s="1"/>
  <c r="H84" i="1" a="1"/>
  <c r="J84" i="1" s="1"/>
  <c r="O84" i="1" s="1"/>
  <c r="H30" i="1" a="1"/>
  <c r="I30" i="1" s="1"/>
  <c r="N30" i="1" s="1"/>
  <c r="H66" i="1" a="1"/>
  <c r="H66" i="1" s="1"/>
  <c r="M66" i="1" s="1"/>
  <c r="H91" i="1" a="1"/>
  <c r="H91" i="1" s="1"/>
  <c r="M91" i="1" s="1"/>
  <c r="H51" i="1" a="1"/>
  <c r="I51" i="1" s="1"/>
  <c r="N51" i="1" s="1"/>
  <c r="H111" i="1" a="1"/>
  <c r="J111" i="1" s="1"/>
  <c r="O111" i="1" s="1"/>
  <c r="H123" i="1" a="1"/>
  <c r="J123" i="1" s="1"/>
  <c r="O123" i="1" s="1"/>
  <c r="H92" i="1" a="1"/>
  <c r="H92" i="1" s="1"/>
  <c r="M92" i="1" s="1"/>
  <c r="H119" i="1" a="1"/>
  <c r="H119" i="1" s="1"/>
  <c r="M119" i="1" s="1"/>
  <c r="H125" i="1" a="1"/>
  <c r="H125" i="1" s="1"/>
  <c r="M125" i="1" s="1"/>
  <c r="H114" i="1" a="1"/>
  <c r="H114" i="1" s="1"/>
  <c r="M114" i="1" s="1"/>
  <c r="H127" i="1" a="1"/>
  <c r="J127" i="1" s="1"/>
  <c r="O127" i="1" s="1"/>
  <c r="H81" i="1" a="1"/>
  <c r="H81" i="1" s="1"/>
  <c r="M81" i="1" s="1"/>
  <c r="H40" i="1" a="1"/>
  <c r="J40" i="1" s="1"/>
  <c r="O40" i="1" s="1"/>
  <c r="H41" i="1" a="1"/>
  <c r="J41" i="1" s="1"/>
  <c r="O41" i="1" s="1"/>
  <c r="H73" i="1" a="1"/>
  <c r="J73" i="1" s="1"/>
  <c r="O73" i="1" s="1"/>
  <c r="H60" i="1" a="1"/>
  <c r="J60" i="1" s="1"/>
  <c r="O60" i="1" s="1"/>
  <c r="H108" i="1" a="1"/>
  <c r="I108" i="1" s="1"/>
  <c r="N108" i="1" s="1"/>
  <c r="H126" i="1" a="1"/>
  <c r="J126" i="1" s="1"/>
  <c r="O126" i="1" s="1"/>
  <c r="H77" i="1" a="1"/>
  <c r="J77" i="1" s="1"/>
  <c r="O77" i="1" s="1"/>
  <c r="H113" i="1" a="1"/>
  <c r="I113" i="1" s="1"/>
  <c r="N113" i="1" s="1"/>
  <c r="H52" i="1" a="1"/>
  <c r="I52" i="1" s="1"/>
  <c r="N52" i="1" s="1"/>
  <c r="H42" i="1" a="1"/>
  <c r="I42" i="1" s="1"/>
  <c r="N42" i="1" s="1"/>
  <c r="H47" i="1" a="1"/>
  <c r="H47" i="1" s="1"/>
  <c r="M47" i="1" s="1"/>
  <c r="H39" i="1" a="1"/>
  <c r="I39" i="1" s="1"/>
  <c r="N39" i="1" s="1"/>
  <c r="H97" i="1" a="1"/>
  <c r="H97" i="1" s="1"/>
  <c r="M97" i="1" s="1"/>
  <c r="H28" i="1" a="1"/>
  <c r="H28" i="1" s="1"/>
  <c r="H121" i="1" a="1"/>
  <c r="H121" i="1" s="1"/>
  <c r="M121" i="1" s="1"/>
  <c r="H62" i="1" a="1"/>
  <c r="I62" i="1" s="1"/>
  <c r="N62" i="1" s="1"/>
  <c r="H117" i="1" a="1"/>
  <c r="H117" i="1" s="1"/>
  <c r="M117" i="1" s="1"/>
  <c r="H86" i="1" a="1"/>
  <c r="J86" i="1" s="1"/>
  <c r="O86" i="1" s="1"/>
  <c r="H116" i="1" a="1"/>
  <c r="J116" i="1" s="1"/>
  <c r="O116" i="1" s="1"/>
  <c r="H94" i="1" a="1"/>
  <c r="J94" i="1" s="1"/>
  <c r="O94" i="1" s="1"/>
  <c r="H75" i="1" a="1"/>
  <c r="J75" i="1" s="1"/>
  <c r="O75" i="1" s="1"/>
  <c r="H122" i="1" a="1"/>
  <c r="H122" i="1" s="1"/>
  <c r="M122" i="1" s="1"/>
  <c r="H64" i="1" a="1"/>
  <c r="I64" i="1" s="1"/>
  <c r="N64" i="1" s="1"/>
  <c r="H118" i="1" a="1"/>
  <c r="H118" i="1" s="1"/>
  <c r="M118" i="1" s="1"/>
  <c r="H45" i="1" a="1"/>
  <c r="I45" i="1" s="1"/>
  <c r="N45" i="1" s="1"/>
  <c r="H34" i="1" a="1"/>
  <c r="I34" i="1" s="1"/>
  <c r="N34" i="1" s="1"/>
  <c r="H105" i="1" a="1"/>
  <c r="I105" i="1" s="1"/>
  <c r="N105" i="1" s="1"/>
  <c r="H68" i="1" a="1"/>
  <c r="J68" i="1" s="1"/>
  <c r="O68" i="1" s="1"/>
  <c r="H31" i="1" a="1"/>
  <c r="I31" i="1" s="1"/>
  <c r="N31" i="1" s="1"/>
  <c r="H115" i="1" a="1"/>
  <c r="H115" i="1" s="1"/>
  <c r="M115" i="1" s="1"/>
  <c r="H44" i="1" a="1"/>
  <c r="H44" i="1" s="1"/>
  <c r="M44" i="1" s="1"/>
  <c r="H49" i="1" a="1"/>
  <c r="J49" i="1" s="1"/>
  <c r="O49" i="1" s="1"/>
  <c r="H43" i="1" a="1"/>
  <c r="H43" i="1" s="1"/>
  <c r="M43" i="1" s="1"/>
  <c r="H36" i="1" a="1"/>
  <c r="J36" i="1" s="1"/>
  <c r="O36" i="1" s="1"/>
  <c r="H65" i="1" a="1"/>
  <c r="J65" i="1" s="1"/>
  <c r="O65" i="1" s="1"/>
  <c r="H32" i="1" a="1"/>
  <c r="J32" i="1" s="1"/>
  <c r="O32" i="1" s="1"/>
  <c r="H67" i="1" a="1"/>
  <c r="H67" i="1" s="1"/>
  <c r="M67" i="1" s="1"/>
  <c r="H106" i="1" a="1"/>
  <c r="J106" i="1" s="1"/>
  <c r="O106" i="1" s="1"/>
  <c r="H89" i="1" a="1"/>
  <c r="H89" i="1" s="1"/>
  <c r="M89" i="1" s="1"/>
  <c r="H57" i="1" a="1"/>
  <c r="J57" i="1" s="1"/>
  <c r="O57" i="1" s="1"/>
  <c r="H112" i="1" a="1"/>
  <c r="J112" i="1" s="1"/>
  <c r="O112" i="1" s="1"/>
  <c r="H58" i="1" a="1"/>
  <c r="I58" i="1" s="1"/>
  <c r="N58" i="1" s="1"/>
  <c r="H71" i="1" a="1"/>
  <c r="J71" i="1" s="1"/>
  <c r="O71" i="1" s="1"/>
  <c r="H100" i="1" a="1"/>
  <c r="I100" i="1" s="1"/>
  <c r="N100" i="1" s="1"/>
  <c r="H103" i="1" a="1"/>
  <c r="J103" i="1" s="1"/>
  <c r="O103" i="1" s="1"/>
  <c r="H110" i="1" a="1"/>
  <c r="H110" i="1" s="1"/>
  <c r="M110" i="1" s="1"/>
  <c r="H38" i="1" a="1"/>
  <c r="H38" i="1" s="1"/>
  <c r="M38" i="1" s="1"/>
  <c r="H37" i="1" a="1"/>
  <c r="J37" i="1" s="1"/>
  <c r="O37" i="1" s="1"/>
  <c r="H104" i="1" a="1"/>
  <c r="J104" i="1" s="1"/>
  <c r="O104" i="1" s="1"/>
  <c r="H82" i="1" a="1"/>
  <c r="J82" i="1" s="1"/>
  <c r="O82" i="1" s="1"/>
  <c r="H72" i="1" a="1"/>
  <c r="J72" i="1" s="1"/>
  <c r="O72" i="1" s="1"/>
  <c r="J46" i="1"/>
  <c r="O46" i="1" s="1"/>
  <c r="I46" i="1"/>
  <c r="N46" i="1" s="1"/>
  <c r="H46" i="1"/>
  <c r="M46" i="1" s="1"/>
  <c r="H59" i="1"/>
  <c r="M59" i="1" s="1"/>
  <c r="J59" i="1"/>
  <c r="O59" i="1" s="1"/>
  <c r="I59" i="1"/>
  <c r="N59" i="1" s="1"/>
  <c r="I99" i="1"/>
  <c r="N99" i="1" s="1"/>
  <c r="H99" i="1"/>
  <c r="M99" i="1" s="1"/>
  <c r="J99" i="1"/>
  <c r="O99" i="1" s="1"/>
  <c r="J109" i="1"/>
  <c r="O109" i="1" s="1"/>
  <c r="H109" i="1"/>
  <c r="M109" i="1" s="1"/>
  <c r="I109" i="1"/>
  <c r="N109" i="1" s="1"/>
  <c r="I124" i="1" l="1"/>
  <c r="N124" i="1" s="1"/>
  <c r="J88" i="1"/>
  <c r="O88" i="1" s="1"/>
  <c r="H124" i="1"/>
  <c r="M124" i="1" s="1"/>
  <c r="B101" i="2" s="1"/>
  <c r="H88" i="1"/>
  <c r="M88" i="1" s="1"/>
  <c r="B65" i="2" s="1"/>
  <c r="B58" i="2"/>
  <c r="B27" i="2"/>
  <c r="B72" i="2"/>
  <c r="B15" i="2"/>
  <c r="B21" i="2"/>
  <c r="B98" i="2"/>
  <c r="B67" i="2"/>
  <c r="B87" i="2"/>
  <c r="B92" i="2"/>
  <c r="B91" i="2"/>
  <c r="B86" i="2"/>
  <c r="B74" i="2"/>
  <c r="B102" i="2"/>
  <c r="B94" i="2"/>
  <c r="B96" i="2"/>
  <c r="B62" i="2"/>
  <c r="B75" i="2"/>
  <c r="H56" i="1"/>
  <c r="M56" i="1" s="1"/>
  <c r="J56" i="1"/>
  <c r="O56" i="1" s="1"/>
  <c r="B24" i="2"/>
  <c r="B69" i="2"/>
  <c r="B30" i="2"/>
  <c r="B76" i="2"/>
  <c r="B60" i="2"/>
  <c r="B70" i="2"/>
  <c r="B20" i="2"/>
  <c r="B95" i="2"/>
  <c r="B79" i="2"/>
  <c r="B38" i="2"/>
  <c r="B36" i="2"/>
  <c r="B66" i="2"/>
  <c r="B68" i="2"/>
  <c r="B23" i="2"/>
  <c r="B99" i="2"/>
  <c r="B43" i="2"/>
  <c r="B44" i="2"/>
  <c r="J69" i="1"/>
  <c r="O69" i="1" s="1"/>
  <c r="H76" i="1"/>
  <c r="M76" i="1" s="1"/>
  <c r="J113" i="1"/>
  <c r="O113" i="1" s="1"/>
  <c r="J81" i="1"/>
  <c r="O81" i="1" s="1"/>
  <c r="J91" i="1"/>
  <c r="O91" i="1" s="1"/>
  <c r="J90" i="1"/>
  <c r="O90" i="1" s="1"/>
  <c r="I90" i="1"/>
  <c r="N90" i="1" s="1"/>
  <c r="I91" i="1"/>
  <c r="N91" i="1" s="1"/>
  <c r="I81" i="1"/>
  <c r="N81" i="1" s="1"/>
  <c r="I95" i="1"/>
  <c r="N95" i="1" s="1"/>
  <c r="H40" i="1"/>
  <c r="M40" i="1" s="1"/>
  <c r="I49" i="1"/>
  <c r="N49" i="1" s="1"/>
  <c r="I40" i="1"/>
  <c r="N40" i="1" s="1"/>
  <c r="H49" i="1"/>
  <c r="M49" i="1" s="1"/>
  <c r="J87" i="1"/>
  <c r="O87" i="1" s="1"/>
  <c r="J107" i="1"/>
  <c r="O107" i="1" s="1"/>
  <c r="I127" i="1"/>
  <c r="N127" i="1" s="1"/>
  <c r="J117" i="1"/>
  <c r="O117" i="1" s="1"/>
  <c r="J54" i="1"/>
  <c r="O54" i="1" s="1"/>
  <c r="J85" i="1"/>
  <c r="O85" i="1" s="1"/>
  <c r="I85" i="1"/>
  <c r="N85" i="1" s="1"/>
  <c r="J53" i="1"/>
  <c r="O53" i="1" s="1"/>
  <c r="H108" i="1"/>
  <c r="M108" i="1" s="1"/>
  <c r="I53" i="1"/>
  <c r="N53" i="1" s="1"/>
  <c r="J108" i="1"/>
  <c r="O108" i="1" s="1"/>
  <c r="H87" i="1"/>
  <c r="M87" i="1" s="1"/>
  <c r="H55" i="1"/>
  <c r="M55" i="1" s="1"/>
  <c r="H101" i="1"/>
  <c r="M101" i="1" s="1"/>
  <c r="J74" i="1"/>
  <c r="O74" i="1" s="1"/>
  <c r="J47" i="1"/>
  <c r="O47" i="1" s="1"/>
  <c r="H96" i="1"/>
  <c r="M96" i="1" s="1"/>
  <c r="I115" i="1"/>
  <c r="N115" i="1" s="1"/>
  <c r="J50" i="1"/>
  <c r="O50" i="1" s="1"/>
  <c r="J93" i="1"/>
  <c r="O93" i="1" s="1"/>
  <c r="J101" i="1"/>
  <c r="O101" i="1" s="1"/>
  <c r="H74" i="1"/>
  <c r="M74" i="1" s="1"/>
  <c r="I47" i="1"/>
  <c r="N47" i="1" s="1"/>
  <c r="H126" i="1"/>
  <c r="M126" i="1" s="1"/>
  <c r="H107" i="1"/>
  <c r="M107" i="1" s="1"/>
  <c r="H48" i="1"/>
  <c r="M48" i="1" s="1"/>
  <c r="I96" i="1"/>
  <c r="N96" i="1" s="1"/>
  <c r="H127" i="1"/>
  <c r="M127" i="1" s="1"/>
  <c r="I48" i="1"/>
  <c r="N48" i="1" s="1"/>
  <c r="J95" i="1"/>
  <c r="O95" i="1" s="1"/>
  <c r="J58" i="1"/>
  <c r="O58" i="1" s="1"/>
  <c r="J115" i="1"/>
  <c r="O115" i="1" s="1"/>
  <c r="I80" i="1"/>
  <c r="N80" i="1" s="1"/>
  <c r="J98" i="1"/>
  <c r="O98" i="1" s="1"/>
  <c r="I98" i="1"/>
  <c r="N98" i="1" s="1"/>
  <c r="J102" i="1"/>
  <c r="O102" i="1" s="1"/>
  <c r="H86" i="1"/>
  <c r="M86" i="1" s="1"/>
  <c r="J114" i="1"/>
  <c r="O114" i="1" s="1"/>
  <c r="I29" i="1"/>
  <c r="N29" i="1" s="1"/>
  <c r="H69" i="1"/>
  <c r="M69" i="1" s="1"/>
  <c r="I79" i="1"/>
  <c r="N79" i="1" s="1"/>
  <c r="J35" i="1"/>
  <c r="O35" i="1" s="1"/>
  <c r="H29" i="1"/>
  <c r="M29" i="1" s="1"/>
  <c r="H35" i="1"/>
  <c r="M35" i="1" s="1"/>
  <c r="I114" i="1"/>
  <c r="N114" i="1" s="1"/>
  <c r="H79" i="1"/>
  <c r="M79" i="1" s="1"/>
  <c r="I76" i="1"/>
  <c r="N76" i="1" s="1"/>
  <c r="I121" i="1"/>
  <c r="N121" i="1" s="1"/>
  <c r="I111" i="1"/>
  <c r="N111" i="1" s="1"/>
  <c r="I125" i="1"/>
  <c r="N125" i="1" s="1"/>
  <c r="J121" i="1"/>
  <c r="O121" i="1" s="1"/>
  <c r="H78" i="1"/>
  <c r="M78" i="1" s="1"/>
  <c r="J43" i="1"/>
  <c r="O43" i="1" s="1"/>
  <c r="H77" i="1"/>
  <c r="M77" i="1" s="1"/>
  <c r="I126" i="1"/>
  <c r="N126" i="1" s="1"/>
  <c r="J34" i="1"/>
  <c r="O34" i="1" s="1"/>
  <c r="J92" i="1"/>
  <c r="O92" i="1" s="1"/>
  <c r="H54" i="1"/>
  <c r="M54" i="1" s="1"/>
  <c r="I55" i="1"/>
  <c r="N55" i="1" s="1"/>
  <c r="H123" i="1"/>
  <c r="M123" i="1" s="1"/>
  <c r="H34" i="1"/>
  <c r="M34" i="1" s="1"/>
  <c r="I92" i="1"/>
  <c r="N92" i="1" s="1"/>
  <c r="I103" i="1"/>
  <c r="N103" i="1" s="1"/>
  <c r="J78" i="1"/>
  <c r="O78" i="1" s="1"/>
  <c r="I119" i="1"/>
  <c r="N119" i="1" s="1"/>
  <c r="I123" i="1"/>
  <c r="N123" i="1" s="1"/>
  <c r="H30" i="1"/>
  <c r="M30" i="1" s="1"/>
  <c r="H103" i="1"/>
  <c r="M103" i="1" s="1"/>
  <c r="J119" i="1"/>
  <c r="O119" i="1" s="1"/>
  <c r="J120" i="1"/>
  <c r="O120" i="1" s="1"/>
  <c r="H120" i="1"/>
  <c r="M120" i="1" s="1"/>
  <c r="J70" i="1"/>
  <c r="O70" i="1" s="1"/>
  <c r="H51" i="1"/>
  <c r="M51" i="1" s="1"/>
  <c r="I44" i="1"/>
  <c r="N44" i="1" s="1"/>
  <c r="H113" i="1"/>
  <c r="M113" i="1" s="1"/>
  <c r="H70" i="1"/>
  <c r="M70" i="1" s="1"/>
  <c r="J51" i="1"/>
  <c r="O51" i="1" s="1"/>
  <c r="J105" i="1"/>
  <c r="O105" i="1" s="1"/>
  <c r="H111" i="1"/>
  <c r="M111" i="1" s="1"/>
  <c r="H52" i="1"/>
  <c r="M52" i="1" s="1"/>
  <c r="H105" i="1"/>
  <c r="M105" i="1" s="1"/>
  <c r="J125" i="1"/>
  <c r="O125" i="1" s="1"/>
  <c r="I117" i="1"/>
  <c r="N117" i="1" s="1"/>
  <c r="I77" i="1"/>
  <c r="N77" i="1" s="1"/>
  <c r="I110" i="1"/>
  <c r="N110" i="1" s="1"/>
  <c r="J66" i="1"/>
  <c r="O66" i="1" s="1"/>
  <c r="H63" i="1"/>
  <c r="M63" i="1" s="1"/>
  <c r="I50" i="1"/>
  <c r="N50" i="1" s="1"/>
  <c r="I93" i="1"/>
  <c r="N93" i="1" s="1"/>
  <c r="I61" i="1"/>
  <c r="N61" i="1" s="1"/>
  <c r="H68" i="1"/>
  <c r="M68" i="1" s="1"/>
  <c r="H41" i="1"/>
  <c r="M41" i="1" s="1"/>
  <c r="I83" i="1"/>
  <c r="N83" i="1" s="1"/>
  <c r="H33" i="1"/>
  <c r="M33" i="1" s="1"/>
  <c r="J31" i="1"/>
  <c r="O31" i="1" s="1"/>
  <c r="I86" i="1"/>
  <c r="N86" i="1" s="1"/>
  <c r="I82" i="1"/>
  <c r="N82" i="1" s="1"/>
  <c r="I68" i="1"/>
  <c r="N68" i="1" s="1"/>
  <c r="J83" i="1"/>
  <c r="O83" i="1" s="1"/>
  <c r="J33" i="1"/>
  <c r="O33" i="1" s="1"/>
  <c r="J39" i="1"/>
  <c r="O39" i="1" s="1"/>
  <c r="J63" i="1"/>
  <c r="O63" i="1" s="1"/>
  <c r="H82" i="1"/>
  <c r="M82" i="1" s="1"/>
  <c r="I66" i="1"/>
  <c r="N66" i="1" s="1"/>
  <c r="I102" i="1"/>
  <c r="N102" i="1" s="1"/>
  <c r="I116" i="1"/>
  <c r="N116" i="1" s="1"/>
  <c r="J61" i="1"/>
  <c r="O61" i="1" s="1"/>
  <c r="I65" i="1"/>
  <c r="N65" i="1" s="1"/>
  <c r="I84" i="1"/>
  <c r="N84" i="1" s="1"/>
  <c r="H75" i="1"/>
  <c r="M75" i="1" s="1"/>
  <c r="H116" i="1"/>
  <c r="M116" i="1" s="1"/>
  <c r="J30" i="1"/>
  <c r="O30" i="1" s="1"/>
  <c r="I41" i="1"/>
  <c r="N41" i="1" s="1"/>
  <c r="H31" i="1"/>
  <c r="M31" i="1" s="1"/>
  <c r="J44" i="1"/>
  <c r="O44" i="1" s="1"/>
  <c r="H65" i="1"/>
  <c r="M65" i="1" s="1"/>
  <c r="H80" i="1"/>
  <c r="M80" i="1" s="1"/>
  <c r="H84" i="1"/>
  <c r="M84" i="1" s="1"/>
  <c r="I75" i="1"/>
  <c r="N75" i="1" s="1"/>
  <c r="H73" i="1"/>
  <c r="M73" i="1" s="1"/>
  <c r="H94" i="1"/>
  <c r="M94" i="1" s="1"/>
  <c r="I73" i="1"/>
  <c r="N73" i="1" s="1"/>
  <c r="I94" i="1"/>
  <c r="N94" i="1" s="1"/>
  <c r="J38" i="1"/>
  <c r="O38" i="1" s="1"/>
  <c r="J122" i="1"/>
  <c r="O122" i="1" s="1"/>
  <c r="I122" i="1"/>
  <c r="N122" i="1" s="1"/>
  <c r="H39" i="1"/>
  <c r="M39" i="1" s="1"/>
  <c r="H64" i="1"/>
  <c r="M64" i="1" s="1"/>
  <c r="J64" i="1"/>
  <c r="O64" i="1" s="1"/>
  <c r="I118" i="1"/>
  <c r="N118" i="1" s="1"/>
  <c r="J52" i="1"/>
  <c r="O52" i="1" s="1"/>
  <c r="I28" i="1"/>
  <c r="N28" i="1" s="1"/>
  <c r="J28" i="1"/>
  <c r="O28" i="1" s="1"/>
  <c r="H32" i="1"/>
  <c r="M32" i="1" s="1"/>
  <c r="J118" i="1"/>
  <c r="O118" i="1" s="1"/>
  <c r="I43" i="1"/>
  <c r="N43" i="1" s="1"/>
  <c r="I32" i="1"/>
  <c r="N32" i="1" s="1"/>
  <c r="H45" i="1"/>
  <c r="M45" i="1" s="1"/>
  <c r="I97" i="1"/>
  <c r="N97" i="1" s="1"/>
  <c r="I89" i="1"/>
  <c r="N89" i="1" s="1"/>
  <c r="J45" i="1"/>
  <c r="O45" i="1" s="1"/>
  <c r="J97" i="1"/>
  <c r="O97" i="1" s="1"/>
  <c r="J89" i="1"/>
  <c r="O89" i="1" s="1"/>
  <c r="H36" i="1"/>
  <c r="M36" i="1" s="1"/>
  <c r="H62" i="1"/>
  <c r="M62" i="1" s="1"/>
  <c r="H42" i="1"/>
  <c r="M42" i="1" s="1"/>
  <c r="I60" i="1"/>
  <c r="N60" i="1" s="1"/>
  <c r="H60" i="1"/>
  <c r="M60" i="1" s="1"/>
  <c r="I106" i="1"/>
  <c r="N106" i="1" s="1"/>
  <c r="I36" i="1"/>
  <c r="N36" i="1" s="1"/>
  <c r="J62" i="1"/>
  <c r="O62" i="1" s="1"/>
  <c r="J42" i="1"/>
  <c r="O42" i="1" s="1"/>
  <c r="H106" i="1"/>
  <c r="M106" i="1" s="1"/>
  <c r="I38" i="1"/>
  <c r="N38" i="1" s="1"/>
  <c r="I67" i="1"/>
  <c r="N67" i="1" s="1"/>
  <c r="I72" i="1"/>
  <c r="N72" i="1" s="1"/>
  <c r="H58" i="1"/>
  <c r="M58" i="1" s="1"/>
  <c r="J67" i="1"/>
  <c r="O67" i="1" s="1"/>
  <c r="J110" i="1"/>
  <c r="O110" i="1" s="1"/>
  <c r="J100" i="1"/>
  <c r="O100" i="1" s="1"/>
  <c r="H100" i="1"/>
  <c r="M100" i="1" s="1"/>
  <c r="I37" i="1"/>
  <c r="N37" i="1" s="1"/>
  <c r="H37" i="1"/>
  <c r="M37" i="1" s="1"/>
  <c r="H71" i="1"/>
  <c r="M71" i="1" s="1"/>
  <c r="I71" i="1"/>
  <c r="N71" i="1" s="1"/>
  <c r="H57" i="1"/>
  <c r="M57" i="1" s="1"/>
  <c r="I57" i="1"/>
  <c r="N57" i="1" s="1"/>
  <c r="H104" i="1"/>
  <c r="M104" i="1" s="1"/>
  <c r="I104" i="1"/>
  <c r="N104" i="1" s="1"/>
  <c r="I112" i="1"/>
  <c r="N112" i="1" s="1"/>
  <c r="H112" i="1"/>
  <c r="M112" i="1" s="1"/>
  <c r="H72" i="1"/>
  <c r="M72" i="1" s="1"/>
  <c r="M28" i="1"/>
  <c r="B83" i="2" l="1"/>
  <c r="B84" i="2"/>
  <c r="B59" i="2"/>
  <c r="B63" i="2"/>
  <c r="B80" i="2"/>
  <c r="B55" i="2"/>
  <c r="B53" i="2"/>
  <c r="B57" i="2"/>
  <c r="B7" i="2"/>
  <c r="B40" i="2"/>
  <c r="B61" i="2"/>
  <c r="B48" i="2"/>
  <c r="B19" i="2"/>
  <c r="B8" i="2"/>
  <c r="B50" i="2"/>
  <c r="B103" i="2"/>
  <c r="B34" i="2"/>
  <c r="B51" i="2"/>
  <c r="B37" i="2"/>
  <c r="B77" i="2"/>
  <c r="B82" i="2"/>
  <c r="B73" i="2"/>
  <c r="B9" i="2"/>
  <c r="B13" i="2"/>
  <c r="B41" i="2"/>
  <c r="B29" i="2"/>
  <c r="B26" i="2"/>
  <c r="B28" i="2"/>
  <c r="B16" i="2"/>
  <c r="B93" i="2"/>
  <c r="B88" i="2"/>
  <c r="B71" i="2"/>
  <c r="B46" i="2"/>
  <c r="B97" i="2"/>
  <c r="B54" i="2"/>
  <c r="B42" i="2"/>
  <c r="B14" i="2"/>
  <c r="B39" i="2"/>
  <c r="B52" i="2"/>
  <c r="B10" i="2"/>
  <c r="B56" i="2"/>
  <c r="B78" i="2"/>
  <c r="B11" i="2"/>
  <c r="B32" i="2"/>
  <c r="B17" i="2"/>
  <c r="B85" i="2"/>
  <c r="B35" i="2"/>
  <c r="B49" i="2"/>
  <c r="B18" i="2"/>
  <c r="B47" i="2"/>
  <c r="B100" i="2"/>
  <c r="B12" i="2"/>
  <c r="B104" i="2"/>
  <c r="B64" i="2"/>
  <c r="B81" i="2"/>
  <c r="B89" i="2"/>
  <c r="B45" i="2"/>
  <c r="B90" i="2"/>
  <c r="B6" i="2"/>
  <c r="B33" i="2"/>
  <c r="B22" i="2"/>
  <c r="B31" i="2"/>
  <c r="B25" i="2"/>
  <c r="I24" i="1"/>
  <c r="H21" i="1"/>
  <c r="I19" i="1"/>
  <c r="J20" i="1"/>
  <c r="H19" i="1"/>
  <c r="J25" i="1"/>
  <c r="H24" i="1"/>
  <c r="J21" i="1"/>
  <c r="J24" i="1"/>
  <c r="H20" i="1"/>
  <c r="H25" i="1"/>
  <c r="I21" i="1"/>
  <c r="J19" i="1"/>
  <c r="I25" i="1"/>
  <c r="I20" i="1"/>
  <c r="B5" i="2"/>
  <c r="M21" i="1"/>
  <c r="M19" i="1"/>
  <c r="M25" i="1"/>
  <c r="M24" i="1"/>
  <c r="M20" i="1"/>
  <c r="O25" i="1"/>
  <c r="O21" i="1"/>
  <c r="O19" i="1"/>
  <c r="O20" i="1"/>
  <c r="O24" i="1"/>
  <c r="N24" i="1"/>
  <c r="N19" i="1"/>
  <c r="N25" i="1"/>
  <c r="N20" i="1"/>
  <c r="N21" i="1"/>
  <c r="E35" i="2" l="1" a="1"/>
  <c r="E35" i="2" s="1"/>
  <c r="E38" i="2" a="1"/>
  <c r="E38" i="2" s="1"/>
  <c r="E13" i="2" a="1"/>
  <c r="E13" i="2" s="1"/>
  <c r="E14" i="2" a="1"/>
  <c r="E14" i="2" s="1"/>
  <c r="E86" i="2" a="1"/>
  <c r="E86" i="2" s="1"/>
  <c r="E78" i="2" a="1"/>
  <c r="E78" i="2" s="1"/>
  <c r="E70" i="2" a="1"/>
  <c r="E70" i="2" s="1"/>
  <c r="E62" i="2" a="1"/>
  <c r="E62" i="2" s="1"/>
  <c r="E54" i="2" a="1"/>
  <c r="E54" i="2" s="1"/>
  <c r="E46" i="2" a="1"/>
  <c r="E46" i="2" s="1"/>
  <c r="E29" i="2" a="1"/>
  <c r="E29" i="2" s="1"/>
  <c r="E21" i="2" a="1"/>
  <c r="E21" i="2" s="1"/>
  <c r="E5" i="2" a="1"/>
  <c r="E5" i="2" s="1"/>
  <c r="E30" i="2" a="1"/>
  <c r="E30" i="2" s="1"/>
  <c r="E85" i="2" a="1"/>
  <c r="E85" i="2" s="1"/>
  <c r="E77" i="2" a="1"/>
  <c r="E77" i="2" s="1"/>
  <c r="E69" i="2" a="1"/>
  <c r="E69" i="2" s="1"/>
  <c r="E61" i="2" a="1"/>
  <c r="E61" i="2" s="1"/>
  <c r="E53" i="2" a="1"/>
  <c r="E53" i="2" s="1"/>
  <c r="E45" i="2" a="1"/>
  <c r="E45" i="2" s="1"/>
  <c r="E37" i="2" a="1"/>
  <c r="E37" i="2" s="1"/>
  <c r="E28" i="2" a="1"/>
  <c r="E28" i="2" s="1"/>
  <c r="E20" i="2" a="1"/>
  <c r="E20" i="2" s="1"/>
  <c r="E12" i="2" a="1"/>
  <c r="E12" i="2" s="1"/>
  <c r="E27" i="2" a="1"/>
  <c r="E27" i="2" s="1"/>
  <c r="E31" i="2" a="1"/>
  <c r="E31" i="2" s="1"/>
  <c r="E6" i="2" a="1"/>
  <c r="E6" i="2" s="1"/>
  <c r="E84" i="2" a="1"/>
  <c r="E84" i="2" s="1"/>
  <c r="E76" i="2" a="1"/>
  <c r="E76" i="2" s="1"/>
  <c r="E68" i="2" a="1"/>
  <c r="E68" i="2" s="1"/>
  <c r="E60" i="2" a="1"/>
  <c r="E60" i="2" s="1"/>
  <c r="E52" i="2" a="1"/>
  <c r="E52" i="2" s="1"/>
  <c r="E44" i="2" a="1"/>
  <c r="E44" i="2" s="1"/>
  <c r="E36" i="2" a="1"/>
  <c r="E36" i="2" s="1"/>
  <c r="E19" i="2" a="1"/>
  <c r="E19" i="2" s="1"/>
  <c r="E11" i="2" a="1"/>
  <c r="E11" i="2" s="1"/>
  <c r="E48" i="2" a="1"/>
  <c r="E48" i="2" s="1"/>
  <c r="E39" i="2" a="1"/>
  <c r="E39" i="2" s="1"/>
  <c r="E26" i="2" a="1"/>
  <c r="E26" i="2" s="1"/>
  <c r="E64" i="2" a="1"/>
  <c r="E64" i="2" s="1"/>
  <c r="E71" i="2" a="1"/>
  <c r="E71" i="2" s="1"/>
  <c r="E83" i="2" a="1"/>
  <c r="E83" i="2" s="1"/>
  <c r="E75" i="2" a="1"/>
  <c r="E75" i="2" s="1"/>
  <c r="E67" i="2" a="1"/>
  <c r="E67" i="2" s="1"/>
  <c r="E59" i="2" a="1"/>
  <c r="E59" i="2" s="1"/>
  <c r="E51" i="2" a="1"/>
  <c r="E51" i="2" s="1"/>
  <c r="E43" i="2" a="1"/>
  <c r="E43" i="2" s="1"/>
  <c r="E34" i="2" a="1"/>
  <c r="E34" i="2" s="1"/>
  <c r="E18" i="2" a="1"/>
  <c r="E18" i="2" s="1"/>
  <c r="E10" i="2" a="1"/>
  <c r="E10" i="2" s="1"/>
  <c r="E23" i="2" a="1"/>
  <c r="E23" i="2" s="1"/>
  <c r="E22" i="2" a="1"/>
  <c r="E22" i="2" s="1"/>
  <c r="E25" i="2" a="1"/>
  <c r="E25" i="2" s="1"/>
  <c r="E56" i="2" a="1"/>
  <c r="E56" i="2" s="1"/>
  <c r="E82" i="2" a="1"/>
  <c r="E82" i="2" s="1"/>
  <c r="E74" i="2" a="1"/>
  <c r="E74" i="2" s="1"/>
  <c r="E66" i="2" a="1"/>
  <c r="E66" i="2" s="1"/>
  <c r="E58" i="2" a="1"/>
  <c r="E58" i="2" s="1"/>
  <c r="E50" i="2" a="1"/>
  <c r="E50" i="2" s="1"/>
  <c r="E42" i="2" a="1"/>
  <c r="E42" i="2" s="1"/>
  <c r="E33" i="2" a="1"/>
  <c r="E33" i="2" s="1"/>
  <c r="E17" i="2" a="1"/>
  <c r="E17" i="2" s="1"/>
  <c r="E9" i="2" a="1"/>
  <c r="E9" i="2" s="1"/>
  <c r="E40" i="2" a="1"/>
  <c r="E40" i="2" s="1"/>
  <c r="E7" i="2" a="1"/>
  <c r="E7" i="2" s="1"/>
  <c r="E47" i="2" a="1"/>
  <c r="E47" i="2" s="1"/>
  <c r="E41" i="2" a="1"/>
  <c r="E41" i="2" s="1"/>
  <c r="E16" i="2" a="1"/>
  <c r="E16" i="2" s="1"/>
  <c r="E72" i="2" a="1"/>
  <c r="E72" i="2" s="1"/>
  <c r="E15" i="2" a="1"/>
  <c r="E15" i="2" s="1"/>
  <c r="E55" i="2" a="1"/>
  <c r="E55" i="2" s="1"/>
  <c r="E81" i="2" a="1"/>
  <c r="E81" i="2" s="1"/>
  <c r="E73" i="2" a="1"/>
  <c r="E73" i="2" s="1"/>
  <c r="E65" i="2" a="1"/>
  <c r="E65" i="2" s="1"/>
  <c r="E57" i="2" a="1"/>
  <c r="E57" i="2" s="1"/>
  <c r="E49" i="2" a="1"/>
  <c r="E49" i="2" s="1"/>
  <c r="E32" i="2" a="1"/>
  <c r="E32" i="2" s="1"/>
  <c r="E24" i="2" a="1"/>
  <c r="E24" i="2" s="1"/>
  <c r="E8" i="2" a="1"/>
  <c r="E8" i="2" s="1"/>
  <c r="E80" i="2" a="1"/>
  <c r="E80" i="2" s="1"/>
  <c r="E63" i="2" a="1"/>
  <c r="E63" i="2" s="1"/>
  <c r="E79" i="2" a="1"/>
  <c r="E7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<sst xmlns="http://schemas.openxmlformats.org/spreadsheetml/2006/main" count="24" uniqueCount="17">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</sst>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8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i/>
      <sz val="9"/>
      <color theme="0" tint="-0.499984740745262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sz val="11"/>
      <color theme="0"/>
      <name val="Source Sans CAIM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 applyAlignment="1">
      <alignment horizontal="center"/>
    </xf>
    <xf numFmtId="0" fontId="3" fillId="0" borderId="0" xfId="0" applyFont="1"/>
    <xf numFmtId="2" fontId="3" fillId="0" borderId="0" xfId="0" applyNumberFormat="1" applyFont="1"/>
    <xf numFmtId="165" fontId="3" fillId="4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histogram100!$D$5:$D$85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histogram100!$E$5:$E$85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5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4</c:v>
                </c:pt>
                <c:pt idx="44">
                  <c:v>4</c:v>
                </c:pt>
                <c:pt idx="45">
                  <c:v>2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7</c:v>
                </c:pt>
                <c:pt idx="50">
                  <c:v>3</c:v>
                </c:pt>
                <c:pt idx="51">
                  <c:v>1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5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6</c:v>
                </c:pt>
                <c:pt idx="61">
                  <c:v>4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B6C-9477-A37DDDDB5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histogram500!$E$5:$E$85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7</c:v>
                </c:pt>
                <c:pt idx="34">
                  <c:v>5</c:v>
                </c:pt>
                <c:pt idx="35">
                  <c:v>4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8</c:v>
                </c:pt>
                <c:pt idx="40">
                  <c:v>9</c:v>
                </c:pt>
                <c:pt idx="41">
                  <c:v>18</c:v>
                </c:pt>
                <c:pt idx="42">
                  <c:v>13</c:v>
                </c:pt>
                <c:pt idx="43">
                  <c:v>14</c:v>
                </c:pt>
                <c:pt idx="44">
                  <c:v>14</c:v>
                </c:pt>
                <c:pt idx="45">
                  <c:v>13</c:v>
                </c:pt>
                <c:pt idx="46">
                  <c:v>20</c:v>
                </c:pt>
                <c:pt idx="47">
                  <c:v>21</c:v>
                </c:pt>
                <c:pt idx="48">
                  <c:v>15</c:v>
                </c:pt>
                <c:pt idx="49">
                  <c:v>21</c:v>
                </c:pt>
                <c:pt idx="50">
                  <c:v>24</c:v>
                </c:pt>
                <c:pt idx="51">
                  <c:v>25</c:v>
                </c:pt>
                <c:pt idx="52">
                  <c:v>24</c:v>
                </c:pt>
                <c:pt idx="53">
                  <c:v>21</c:v>
                </c:pt>
                <c:pt idx="54">
                  <c:v>18</c:v>
                </c:pt>
                <c:pt idx="55">
                  <c:v>17</c:v>
                </c:pt>
                <c:pt idx="56">
                  <c:v>17</c:v>
                </c:pt>
                <c:pt idx="57">
                  <c:v>16</c:v>
                </c:pt>
                <c:pt idx="58">
                  <c:v>19</c:v>
                </c:pt>
                <c:pt idx="59">
                  <c:v>20</c:v>
                </c:pt>
                <c:pt idx="60">
                  <c:v>12</c:v>
                </c:pt>
                <c:pt idx="61">
                  <c:v>12</c:v>
                </c:pt>
                <c:pt idx="62">
                  <c:v>11</c:v>
                </c:pt>
                <c:pt idx="63">
                  <c:v>4</c:v>
                </c:pt>
                <c:pt idx="64">
                  <c:v>5</c:v>
                </c:pt>
                <c:pt idx="65">
                  <c:v>4</c:v>
                </c:pt>
                <c:pt idx="66">
                  <c:v>6</c:v>
                </c:pt>
                <c:pt idx="67">
                  <c:v>4</c:v>
                </c:pt>
                <c:pt idx="68">
                  <c:v>1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3</c:v>
                </c:pt>
                <c:pt idx="74">
                  <c:v>0</c:v>
                </c:pt>
                <c:pt idx="75">
                  <c:v>0</c:v>
                </c:pt>
                <c:pt idx="76">
                  <c:v>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2-4D26-9834-FC519CDB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histogram500!$N$5:$N$37</c:f>
              <c:numCache>
                <c:formatCode>General</c:formatCode>
                <c:ptCount val="33"/>
                <c:pt idx="0">
                  <c:v>-3</c:v>
                </c:pt>
                <c:pt idx="1">
                  <c:v>-2.75</c:v>
                </c:pt>
                <c:pt idx="2">
                  <c:v>-2.5</c:v>
                </c:pt>
                <c:pt idx="3">
                  <c:v>-2.25</c:v>
                </c:pt>
                <c:pt idx="4">
                  <c:v>-2</c:v>
                </c:pt>
                <c:pt idx="5">
                  <c:v>-1.75</c:v>
                </c:pt>
                <c:pt idx="6">
                  <c:v>-1.5</c:v>
                </c:pt>
                <c:pt idx="7">
                  <c:v>-1.25</c:v>
                </c:pt>
                <c:pt idx="8">
                  <c:v>-1</c:v>
                </c:pt>
                <c:pt idx="9">
                  <c:v>-0.75</c:v>
                </c:pt>
                <c:pt idx="10">
                  <c:v>-0.5</c:v>
                </c:pt>
                <c:pt idx="11">
                  <c:v>-0.25</c:v>
                </c:pt>
                <c:pt idx="12">
                  <c:v>0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1.25</c:v>
                </c:pt>
                <c:pt idx="18">
                  <c:v>1.5</c:v>
                </c:pt>
                <c:pt idx="19">
                  <c:v>1.75</c:v>
                </c:pt>
                <c:pt idx="20">
                  <c:v>2</c:v>
                </c:pt>
                <c:pt idx="21">
                  <c:v>2.25</c:v>
                </c:pt>
                <c:pt idx="22">
                  <c:v>2.5</c:v>
                </c:pt>
                <c:pt idx="23">
                  <c:v>2.75</c:v>
                </c:pt>
                <c:pt idx="24">
                  <c:v>3</c:v>
                </c:pt>
                <c:pt idx="25">
                  <c:v>3.25</c:v>
                </c:pt>
                <c:pt idx="26">
                  <c:v>3.5</c:v>
                </c:pt>
                <c:pt idx="27">
                  <c:v>3.75</c:v>
                </c:pt>
                <c:pt idx="28">
                  <c:v>4</c:v>
                </c:pt>
                <c:pt idx="29">
                  <c:v>4.25</c:v>
                </c:pt>
                <c:pt idx="30">
                  <c:v>4.5</c:v>
                </c:pt>
                <c:pt idx="31">
                  <c:v>4.75</c:v>
                </c:pt>
                <c:pt idx="32">
                  <c:v>5</c:v>
                </c:pt>
              </c:numCache>
            </c:numRef>
          </c:cat>
          <c:val>
            <c:numRef>
              <c:f>histogram500!$O$5:$O$37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10</c:v>
                </c:pt>
                <c:pt idx="14">
                  <c:v>12</c:v>
                </c:pt>
                <c:pt idx="15">
                  <c:v>23</c:v>
                </c:pt>
                <c:pt idx="16">
                  <c:v>21</c:v>
                </c:pt>
                <c:pt idx="17">
                  <c:v>40</c:v>
                </c:pt>
                <c:pt idx="18">
                  <c:v>32</c:v>
                </c:pt>
                <c:pt idx="19">
                  <c:v>47</c:v>
                </c:pt>
                <c:pt idx="20">
                  <c:v>54</c:v>
                </c:pt>
                <c:pt idx="21">
                  <c:v>60</c:v>
                </c:pt>
                <c:pt idx="22">
                  <c:v>45</c:v>
                </c:pt>
                <c:pt idx="23">
                  <c:v>42</c:v>
                </c:pt>
                <c:pt idx="24">
                  <c:v>42</c:v>
                </c:pt>
                <c:pt idx="25">
                  <c:v>27</c:v>
                </c:pt>
                <c:pt idx="26">
                  <c:v>9</c:v>
                </c:pt>
                <c:pt idx="27">
                  <c:v>10</c:v>
                </c:pt>
                <c:pt idx="28">
                  <c:v>9</c:v>
                </c:pt>
                <c:pt idx="29">
                  <c:v>6</c:v>
                </c:pt>
                <c:pt idx="30">
                  <c:v>0</c:v>
                </c:pt>
                <c:pt idx="31">
                  <c:v>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3-4DEC-B164-B0A5821C8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130</xdr:row>
      <xdr:rowOff>0</xdr:rowOff>
    </xdr:from>
    <xdr:to>
      <xdr:col>10</xdr:col>
      <xdr:colOff>511157</xdr:colOff>
      <xdr:row>152</xdr:row>
      <xdr:rowOff>7147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F59F2F-63C1-56FC-F74B-141528889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" y="23308235"/>
          <a:ext cx="6466283" cy="3951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054" name="Chart 1">
          <a:extLst>
            <a:ext uri="{FF2B5EF4-FFF2-40B4-BE49-F238E27FC236}">
              <a16:creationId xmlns:a16="http://schemas.microsoft.com/office/drawing/2014/main" id="{8170418C-EFFD-58EA-5F0B-504FC1B77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246B07-D2D8-490B-A1B2-CB94FA2CD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419100</xdr:colOff>
      <xdr:row>4</xdr:row>
      <xdr:rowOff>0</xdr:rowOff>
    </xdr:from>
    <xdr:to>
      <xdr:col>23</xdr:col>
      <xdr:colOff>142875</xdr:colOff>
      <xdr:row>18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208FF3-BC39-4754-AEBA-976D6393A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AIM">
  <a:themeElements>
    <a:clrScheme name="CAIM">
      <a:dk1>
        <a:srgbClr val="2C2824"/>
      </a:dk1>
      <a:lt1>
        <a:srgbClr val="FFFFFF"/>
      </a:lt1>
      <a:dk2>
        <a:srgbClr val="D12E28"/>
      </a:dk2>
      <a:lt2>
        <a:srgbClr val="69B578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127"/>
  <sheetViews>
    <sheetView showGridLines="0" tabSelected="1" topLeftCell="A29" zoomScale="85" zoomScaleNormal="85" workbookViewId="0">
      <selection activeCell="M31" sqref="M31"/>
    </sheetView>
  </sheetViews>
  <sheetFormatPr baseColWidth="10" defaultColWidth="9" defaultRowHeight="16"/>
  <cols>
    <col min="1" max="1" width="3.83203125" style="2" customWidth="1"/>
    <col min="2" max="2" width="9.33203125" style="2" bestFit="1" customWidth="1"/>
    <col min="3" max="5" width="9.5" style="2" bestFit="1" customWidth="1"/>
    <col min="6" max="6" width="9" style="2"/>
    <col min="7" max="11" width="9.33203125" style="2" bestFit="1" customWidth="1"/>
    <col min="12" max="12" width="9" style="2"/>
    <col min="13" max="13" width="10.6640625" style="2" customWidth="1"/>
    <col min="14" max="15" width="9.33203125" style="2" bestFit="1" customWidth="1"/>
    <col min="16" max="16384" width="9" style="2"/>
  </cols>
  <sheetData>
    <row r="2" spans="2:15">
      <c r="B2" s="22" t="s">
        <v>0</v>
      </c>
      <c r="C2" s="22" t="s">
        <v>1</v>
      </c>
      <c r="D2" s="22" t="s">
        <v>2</v>
      </c>
      <c r="E2" s="22" t="s">
        <v>3</v>
      </c>
    </row>
    <row r="3" spans="2:15">
      <c r="B3" s="3" t="s">
        <v>4</v>
      </c>
      <c r="C3" s="4">
        <v>0.02</v>
      </c>
      <c r="D3" s="4">
        <v>0.03</v>
      </c>
      <c r="E3" s="4">
        <v>0.09</v>
      </c>
      <c r="F3" s="5"/>
    </row>
    <row r="4" spans="2:15">
      <c r="B4" s="3" t="s">
        <v>5</v>
      </c>
      <c r="C4" s="4">
        <v>0.01</v>
      </c>
      <c r="D4" s="4">
        <v>0.04</v>
      </c>
      <c r="E4" s="4">
        <v>0.15</v>
      </c>
      <c r="F4" s="5"/>
    </row>
    <row r="6" spans="2:15" s="6" customFormat="1">
      <c r="C6" s="6" t="s">
        <v>6</v>
      </c>
      <c r="H6" s="6" t="s">
        <v>11</v>
      </c>
    </row>
    <row r="7" spans="2:15">
      <c r="B7" s="22"/>
      <c r="C7" s="22" t="str">
        <f t="array" ref="C7:E7">assetnames</f>
        <v>Cash</v>
      </c>
      <c r="D7" s="22" t="str">
        <v>Bonds</v>
      </c>
      <c r="E7" s="22" t="str">
        <v>Stocks</v>
      </c>
      <c r="G7" s="1"/>
      <c r="H7" s="22" t="str">
        <f t="array" ref="H7:J7">assetnames</f>
        <v>Cash</v>
      </c>
      <c r="I7" s="22" t="str">
        <v>Bonds</v>
      </c>
      <c r="J7" s="22" t="str">
        <v>Stocks</v>
      </c>
    </row>
    <row r="8" spans="2:15">
      <c r="B8" s="22" t="str">
        <f t="array" ref="B8:B10">TRANSPOSE(assetnames)</f>
        <v>Cash</v>
      </c>
      <c r="C8" s="7">
        <v>1</v>
      </c>
      <c r="D8" s="7">
        <v>0.9</v>
      </c>
      <c r="E8" s="7">
        <v>0.7</v>
      </c>
      <c r="F8" s="8"/>
      <c r="G8" s="22" t="str">
        <f t="array" ref="G8:G10">TRANSPOSE(assetnames)</f>
        <v>Cash</v>
      </c>
      <c r="H8" s="26">
        <f t="array" ref="H8:J10">CorrAdj(corrs)</f>
        <v>1</v>
      </c>
      <c r="I8" s="26">
        <v>0.9</v>
      </c>
      <c r="J8" s="26">
        <v>0.70000000000000007</v>
      </c>
      <c r="K8" s="9"/>
    </row>
    <row r="9" spans="2:15">
      <c r="B9" s="22" t="str">
        <v>Bonds</v>
      </c>
      <c r="C9" s="7">
        <v>0.9</v>
      </c>
      <c r="D9" s="7">
        <v>1</v>
      </c>
      <c r="E9" s="7">
        <v>0.4</v>
      </c>
      <c r="F9" s="8"/>
      <c r="G9" s="22" t="str">
        <v>Bonds</v>
      </c>
      <c r="H9" s="26">
        <v>0.9</v>
      </c>
      <c r="I9" s="26">
        <v>1</v>
      </c>
      <c r="J9" s="26">
        <v>0.4000000000000003</v>
      </c>
      <c r="K9" s="9"/>
    </row>
    <row r="10" spans="2:15">
      <c r="B10" s="22" t="str">
        <v>Stocks</v>
      </c>
      <c r="C10" s="7">
        <v>0.7</v>
      </c>
      <c r="D10" s="7">
        <v>0.4</v>
      </c>
      <c r="E10" s="7">
        <v>1</v>
      </c>
      <c r="F10" s="8"/>
      <c r="G10" s="22" t="str">
        <v>Stocks</v>
      </c>
      <c r="H10" s="26">
        <v>0.70000000000000007</v>
      </c>
      <c r="I10" s="26">
        <v>0.4000000000000003</v>
      </c>
      <c r="J10" s="26">
        <v>0.99999999999999978</v>
      </c>
      <c r="K10" s="9"/>
    </row>
    <row r="12" spans="2:15" s="6" customFormat="1">
      <c r="C12" s="6" t="s">
        <v>7</v>
      </c>
      <c r="H12" s="6" t="s">
        <v>12</v>
      </c>
    </row>
    <row r="13" spans="2:15">
      <c r="B13" s="10"/>
      <c r="C13" s="7">
        <f t="array" ref="C13:E15">CholeskyDecomp(corrs)</f>
        <v>1</v>
      </c>
      <c r="D13" s="7">
        <v>0</v>
      </c>
      <c r="E13" s="7">
        <v>0</v>
      </c>
      <c r="H13" s="26">
        <f t="array" ref="H13:J15">CholeskyDecomp(adjcorrs)</f>
        <v>1</v>
      </c>
      <c r="I13" s="26">
        <v>0</v>
      </c>
      <c r="J13" s="26">
        <v>0</v>
      </c>
    </row>
    <row r="14" spans="2:15">
      <c r="B14" s="10"/>
      <c r="C14" s="7">
        <v>0.9</v>
      </c>
      <c r="D14" s="7">
        <v>0.43588989435406728</v>
      </c>
      <c r="E14" s="7">
        <v>0</v>
      </c>
      <c r="H14" s="26">
        <v>0.9</v>
      </c>
      <c r="I14" s="26">
        <v>0.43588989435406728</v>
      </c>
      <c r="J14" s="26">
        <v>0</v>
      </c>
    </row>
    <row r="15" spans="2:15">
      <c r="B15" s="11"/>
      <c r="C15" s="7">
        <v>0.7</v>
      </c>
      <c r="D15" s="7">
        <v>-0.52765618790229207</v>
      </c>
      <c r="E15" s="7">
        <v>0.48122650318578786</v>
      </c>
      <c r="H15" s="26">
        <v>0.70000000000000007</v>
      </c>
      <c r="I15" s="26">
        <v>-0.52765618790229174</v>
      </c>
      <c r="J15" s="26">
        <v>0.48122650318578808</v>
      </c>
    </row>
    <row r="16" spans="2:15">
      <c r="C16" s="8"/>
      <c r="D16" s="8"/>
      <c r="E16" s="8"/>
      <c r="H16" s="8"/>
      <c r="I16" s="8"/>
      <c r="J16" s="8"/>
      <c r="M16" s="12">
        <v>1</v>
      </c>
      <c r="N16" s="12">
        <v>2</v>
      </c>
      <c r="O16" s="12">
        <v>3</v>
      </c>
    </row>
    <row r="17" spans="2:17">
      <c r="C17" s="6" t="s">
        <v>14</v>
      </c>
      <c r="H17" s="13" t="s">
        <v>15</v>
      </c>
      <c r="I17" s="14"/>
      <c r="J17" s="14"/>
      <c r="L17" s="6"/>
      <c r="M17" s="6" t="s">
        <v>10</v>
      </c>
      <c r="N17" s="6"/>
      <c r="O17" s="6"/>
      <c r="P17" s="6"/>
    </row>
    <row r="18" spans="2:17">
      <c r="B18" s="1"/>
      <c r="C18" s="22">
        <v>1</v>
      </c>
      <c r="D18" s="22">
        <v>2</v>
      </c>
      <c r="E18" s="22">
        <v>3</v>
      </c>
      <c r="F18" s="12"/>
      <c r="G18" s="1"/>
      <c r="H18" s="22">
        <v>1</v>
      </c>
      <c r="I18" s="22">
        <v>2</v>
      </c>
      <c r="J18" s="22">
        <v>3</v>
      </c>
      <c r="L18" s="1"/>
      <c r="M18" s="22" t="str">
        <f t="array" ref="M18:O18">assetnames</f>
        <v>Cash</v>
      </c>
      <c r="N18" s="22" t="str">
        <v>Bonds</v>
      </c>
      <c r="O18" s="22" t="str">
        <v>Stocks</v>
      </c>
    </row>
    <row r="19" spans="2:17">
      <c r="B19" s="22">
        <v>1</v>
      </c>
      <c r="C19" s="7">
        <f t="shared" ref="C19:E21" ca="1" si="0">CORREL(INDEX(rands,,C$18),INDEX(rands,,$K19))</f>
        <v>1</v>
      </c>
      <c r="D19" s="7">
        <f t="shared" ca="1" si="0"/>
        <v>8.4558002087890702E-2</v>
      </c>
      <c r="E19" s="7">
        <f t="shared" ca="1" si="0"/>
        <v>9.0793970105865263E-2</v>
      </c>
      <c r="F19" s="8"/>
      <c r="G19" s="22">
        <v>1</v>
      </c>
      <c r="H19" s="7">
        <f t="shared" ref="H19:J21" ca="1" si="1">CORREL(INDEX(randscorrel,,H$18),INDEX(randscorrel,,$K19))</f>
        <v>1</v>
      </c>
      <c r="I19" s="7">
        <f t="shared" ca="1" si="1"/>
        <v>0.93875756777872399</v>
      </c>
      <c r="J19" s="7">
        <f t="shared" ca="1" si="1"/>
        <v>0.76101765283287148</v>
      </c>
      <c r="K19" s="15">
        <v>1</v>
      </c>
      <c r="L19" s="22" t="str">
        <f t="array" ref="L19:L21">TRANSPOSE(assetnames)</f>
        <v>Cash</v>
      </c>
      <c r="M19" s="7">
        <f t="shared" ref="M19:O21" ca="1" si="2">CORREL(INDEX(simreturns,,M$16),INDEX(simreturns,,$K19))</f>
        <v>1</v>
      </c>
      <c r="N19" s="7">
        <f t="shared" ca="1" si="2"/>
        <v>0.93875756777872377</v>
      </c>
      <c r="O19" s="7">
        <f t="shared" ca="1" si="2"/>
        <v>0.76101765283287159</v>
      </c>
    </row>
    <row r="20" spans="2:17">
      <c r="B20" s="22">
        <v>2</v>
      </c>
      <c r="C20" s="7">
        <f t="shared" ca="1" si="0"/>
        <v>8.4558002087890702E-2</v>
      </c>
      <c r="D20" s="7">
        <f t="shared" ca="1" si="0"/>
        <v>1</v>
      </c>
      <c r="E20" s="7">
        <f t="shared" ca="1" si="0"/>
        <v>0.15978399885435798</v>
      </c>
      <c r="F20" s="8"/>
      <c r="G20" s="22">
        <v>2</v>
      </c>
      <c r="H20" s="7">
        <f t="shared" ca="1" si="1"/>
        <v>0.93875756777872399</v>
      </c>
      <c r="I20" s="7">
        <f t="shared" ca="1" si="1"/>
        <v>1</v>
      </c>
      <c r="J20" s="7">
        <f t="shared" ca="1" si="1"/>
        <v>0.5912643262296553</v>
      </c>
      <c r="K20" s="15">
        <v>2</v>
      </c>
      <c r="L20" s="22" t="str">
        <v>Bonds</v>
      </c>
      <c r="M20" s="7">
        <f t="shared" ca="1" si="2"/>
        <v>0.93875756777872377</v>
      </c>
      <c r="N20" s="7">
        <f t="shared" ca="1" si="2"/>
        <v>1</v>
      </c>
      <c r="O20" s="7">
        <f t="shared" ca="1" si="2"/>
        <v>0.59126432622965541</v>
      </c>
    </row>
    <row r="21" spans="2:17">
      <c r="B21" s="22">
        <v>3</v>
      </c>
      <c r="C21" s="7">
        <f t="shared" ca="1" si="0"/>
        <v>9.0793970105865263E-2</v>
      </c>
      <c r="D21" s="7">
        <f t="shared" ca="1" si="0"/>
        <v>0.15978399885435798</v>
      </c>
      <c r="E21" s="7">
        <f t="shared" ca="1" si="0"/>
        <v>0.99999999999999989</v>
      </c>
      <c r="F21" s="8"/>
      <c r="G21" s="22">
        <v>3</v>
      </c>
      <c r="H21" s="7">
        <f t="shared" ca="1" si="1"/>
        <v>0.76101765283287148</v>
      </c>
      <c r="I21" s="7">
        <f t="shared" ca="1" si="1"/>
        <v>0.5912643262296553</v>
      </c>
      <c r="J21" s="7">
        <f t="shared" ca="1" si="1"/>
        <v>1</v>
      </c>
      <c r="K21" s="15">
        <v>3</v>
      </c>
      <c r="L21" s="22" t="str">
        <v>Stocks</v>
      </c>
      <c r="M21" s="7">
        <f t="shared" ca="1" si="2"/>
        <v>0.76101765283287159</v>
      </c>
      <c r="N21" s="7">
        <f t="shared" ca="1" si="2"/>
        <v>0.59126432622965541</v>
      </c>
      <c r="O21" s="7">
        <f t="shared" ca="1" si="2"/>
        <v>0.99999999999999989</v>
      </c>
    </row>
    <row r="22" spans="2:17">
      <c r="B22" s="23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spans="2:17">
      <c r="C23" s="22">
        <v>1</v>
      </c>
      <c r="D23" s="22">
        <v>2</v>
      </c>
      <c r="E23" s="22">
        <v>3</v>
      </c>
      <c r="F23" s="12"/>
      <c r="G23" s="12"/>
      <c r="H23" s="22">
        <v>1</v>
      </c>
      <c r="I23" s="22">
        <v>2</v>
      </c>
      <c r="J23" s="22">
        <v>3</v>
      </c>
      <c r="M23" s="22" t="str">
        <f t="array" ref="M23:O23">assetnames</f>
        <v>Cash</v>
      </c>
      <c r="N23" s="22" t="str">
        <v>Bonds</v>
      </c>
      <c r="O23" s="22" t="str">
        <v>Stocks</v>
      </c>
    </row>
    <row r="24" spans="2:17">
      <c r="B24" s="3" t="s">
        <v>4</v>
      </c>
      <c r="C24" s="16">
        <f ca="1">AVERAGE(C28:C127)</f>
        <v>-8.5624408507184099E-2</v>
      </c>
      <c r="D24" s="16">
        <f ca="1">AVERAGE(D28:D127)</f>
        <v>-3.9888359348684656E-2</v>
      </c>
      <c r="E24" s="16">
        <f ca="1">AVERAGE(E28:E127)</f>
        <v>-0.10012372017789048</v>
      </c>
      <c r="F24" s="17"/>
      <c r="G24" s="3" t="s">
        <v>4</v>
      </c>
      <c r="H24" s="16">
        <f ca="1">AVERAGE(H28:H127)</f>
        <v>-8.5624408507184099E-2</v>
      </c>
      <c r="I24" s="16">
        <f ca="1">AVERAGE(I28:I127)</f>
        <v>-9.4448900398920899E-2</v>
      </c>
      <c r="J24" s="16">
        <f ca="1">AVERAGE(J28:J127)</f>
        <v>-8.7071934066583728E-2</v>
      </c>
      <c r="K24" s="17"/>
      <c r="L24" s="3" t="s">
        <v>4</v>
      </c>
      <c r="M24" s="18">
        <f ca="1">AVERAGE(M28:M127)</f>
        <v>1.9143755914928159E-2</v>
      </c>
      <c r="N24" s="18">
        <f ca="1">AVERAGE(N28:N127)</f>
        <v>2.6222043984043167E-2</v>
      </c>
      <c r="O24" s="18">
        <f ca="1">AVERAGE(O28:O127)</f>
        <v>7.6939209890012433E-2</v>
      </c>
    </row>
    <row r="25" spans="2:17">
      <c r="B25" s="3" t="s">
        <v>5</v>
      </c>
      <c r="C25" s="16">
        <f ca="1">STDEV(C28:C127)</f>
        <v>1.1043513813985508</v>
      </c>
      <c r="D25" s="16">
        <f ca="1">STDEV(D28:D127)</f>
        <v>0.86697946604806508</v>
      </c>
      <c r="E25" s="16">
        <f ca="1">STDEV(E28:E127)</f>
        <v>1.1807048205179873</v>
      </c>
      <c r="F25" s="17"/>
      <c r="G25" s="3" t="s">
        <v>5</v>
      </c>
      <c r="H25" s="16">
        <f ca="1">STDEV(H28:H127)</f>
        <v>1.1043513813985508</v>
      </c>
      <c r="I25" s="16">
        <f ca="1">STDEV(I28:I127)</f>
        <v>1.0927968935468984</v>
      </c>
      <c r="J25" s="16">
        <f ca="1">STDEV(J28:J127)</f>
        <v>1.0327636494209846</v>
      </c>
      <c r="K25" s="17"/>
      <c r="L25" s="3" t="s">
        <v>5</v>
      </c>
      <c r="M25" s="18">
        <f ca="1">STDEV(M28:M127)</f>
        <v>1.1043513813985509E-2</v>
      </c>
      <c r="N25" s="18">
        <f ca="1">STDEV(N28:N127)</f>
        <v>4.3711875741875926E-2</v>
      </c>
      <c r="O25" s="18">
        <f ca="1">STDEV(O28:O127)</f>
        <v>0.15491454741314764</v>
      </c>
    </row>
    <row r="27" spans="2:17" s="6" customFormat="1">
      <c r="C27" s="6" t="s">
        <v>8</v>
      </c>
      <c r="H27" s="6" t="s">
        <v>13</v>
      </c>
      <c r="M27" s="6" t="s">
        <v>9</v>
      </c>
    </row>
    <row r="28" spans="2:17">
      <c r="B28" s="12">
        <v>1</v>
      </c>
      <c r="C28" s="19">
        <f ca="1">NORMSINV(RAND())</f>
        <v>2.4520417925789086</v>
      </c>
      <c r="D28" s="19">
        <f t="shared" ref="D28:E43" ca="1" si="3">NORMSINV(RAND())</f>
        <v>0.12311647031611059</v>
      </c>
      <c r="E28" s="19">
        <f t="shared" ca="1" si="3"/>
        <v>1.4216731954516377</v>
      </c>
      <c r="F28" s="20"/>
      <c r="H28" s="19">
        <f t="array" aca="1" ref="H28:J28" ca="1">TRANSPOSE(MMULT(adjchol,TRANSPOSE(C28:E28)))</f>
        <v>2.4520417925789086</v>
      </c>
      <c r="I28" s="19">
        <f ca="1"/>
        <v>2.2605028385603529</v>
      </c>
      <c r="J28" s="19">
        <f ca="1"/>
        <v>2.3356129079304084</v>
      </c>
      <c r="K28" s="20"/>
      <c r="M28" s="21">
        <f t="shared" ref="M28:M91" ca="1" si="4">C$3+H28*C$4</f>
        <v>4.4520417925789091E-2</v>
      </c>
      <c r="N28" s="21">
        <f t="shared" ref="N28:N91" ca="1" si="5">D$3+I28*D$4</f>
        <v>0.12042011354241412</v>
      </c>
      <c r="O28" s="21">
        <f t="shared" ref="O28:O91" ca="1" si="6">E$3+J28*E$4</f>
        <v>0.4403419361895613</v>
      </c>
    </row>
    <row r="29" spans="2:17">
      <c r="B29" s="12">
        <v>2</v>
      </c>
      <c r="C29" s="19">
        <f t="shared" ref="C29:E92" ca="1" si="7">NORMSINV(RAND())</f>
        <v>-0.10070331263420498</v>
      </c>
      <c r="D29" s="19">
        <f t="shared" ca="1" si="3"/>
        <v>-1.6575414615212235E-2</v>
      </c>
      <c r="E29" s="19">
        <f t="shared" ca="1" si="3"/>
        <v>-1.7854775937351433</v>
      </c>
      <c r="F29" s="20"/>
      <c r="H29" s="19">
        <f t="array" aca="1" ref="H29:J29" ca="1">TRANSPOSE(MMULT(adjchol,TRANSPOSE(C29:E29)))</f>
        <v>-0.10070331263420498</v>
      </c>
      <c r="I29" s="19">
        <f ca="1"/>
        <v>-9.7858037096284212E-2</v>
      </c>
      <c r="J29" s="19">
        <f ca="1"/>
        <v>-0.92096533770491884</v>
      </c>
      <c r="K29" s="20"/>
      <c r="M29" s="21">
        <f t="shared" ca="1" si="4"/>
        <v>1.8992966873657952E-2</v>
      </c>
      <c r="N29" s="21">
        <f t="shared" ca="1" si="5"/>
        <v>2.6085678516148632E-2</v>
      </c>
      <c r="O29" s="21">
        <f t="shared" ca="1" si="6"/>
        <v>-4.8144800655737813E-2</v>
      </c>
    </row>
    <row r="30" spans="2:17">
      <c r="B30" s="12">
        <v>3</v>
      </c>
      <c r="C30" s="19">
        <f t="shared" ca="1" si="7"/>
        <v>-2.6696667745177178</v>
      </c>
      <c r="D30" s="19">
        <f t="shared" ca="1" si="3"/>
        <v>-0.98181217617219929</v>
      </c>
      <c r="E30" s="19">
        <f t="shared" ca="1" si="3"/>
        <v>-0.48957349058819633</v>
      </c>
      <c r="F30" s="20"/>
      <c r="H30" s="19">
        <f t="array" aca="1" ref="H30:J30" ca="1">TRANSPOSE(MMULT(adjchol,TRANSPOSE(C30:E30)))</f>
        <v>-2.6696667745177178</v>
      </c>
      <c r="I30" s="19">
        <f ca="1"/>
        <v>-2.8306621028131831</v>
      </c>
      <c r="J30" s="19">
        <f ca="1"/>
        <v>-1.5863032109755446</v>
      </c>
      <c r="K30" s="20"/>
      <c r="M30" s="21">
        <f t="shared" ca="1" si="4"/>
        <v>-6.6966677451771768E-3</v>
      </c>
      <c r="N30" s="21">
        <f t="shared" ca="1" si="5"/>
        <v>-8.3226484112527324E-2</v>
      </c>
      <c r="O30" s="21">
        <f t="shared" ca="1" si="6"/>
        <v>-0.14794548164633167</v>
      </c>
    </row>
    <row r="31" spans="2:17">
      <c r="B31" s="12">
        <v>4</v>
      </c>
      <c r="C31" s="19">
        <f t="shared" ca="1" si="7"/>
        <v>-1.7594051149791949</v>
      </c>
      <c r="D31" s="19">
        <f t="shared" ca="1" si="3"/>
        <v>-0.55755949427961327</v>
      </c>
      <c r="E31" s="19">
        <f t="shared" ca="1" si="3"/>
        <v>0.23133809629909369</v>
      </c>
      <c r="F31" s="20"/>
      <c r="H31" s="19">
        <f t="array" aca="1" ref="H31:J31" ca="1">TRANSPOSE(MMULT(adjchol,TRANSPOSE(C31:E31)))</f>
        <v>-1.7594051149791949</v>
      </c>
      <c r="I31" s="19">
        <f ca="1"/>
        <v>-1.8264991525389231</v>
      </c>
      <c r="J31" s="19">
        <f ca="1"/>
        <v>-0.82605784006945615</v>
      </c>
      <c r="K31" s="20"/>
      <c r="M31" s="21">
        <f t="shared" ca="1" si="4"/>
        <v>2.4059488502080513E-3</v>
      </c>
      <c r="N31" s="21">
        <f t="shared" ca="1" si="5"/>
        <v>-4.3059966101556935E-2</v>
      </c>
      <c r="O31" s="21">
        <f t="shared" ca="1" si="6"/>
        <v>-3.3908676010418415E-2</v>
      </c>
    </row>
    <row r="32" spans="2:17">
      <c r="B32" s="12">
        <v>5</v>
      </c>
      <c r="C32" s="19">
        <f t="shared" ca="1" si="7"/>
        <v>-1.216092368926299</v>
      </c>
      <c r="D32" s="19">
        <f t="shared" ca="1" si="3"/>
        <v>-0.97472835149464476</v>
      </c>
      <c r="E32" s="19">
        <f t="shared" ca="1" si="3"/>
        <v>1.7371791738612714</v>
      </c>
      <c r="F32" s="20"/>
      <c r="H32" s="19">
        <f t="array" aca="1" ref="H32:J32" ca="1">TRANSPOSE(MMULT(adjchol,TRANSPOSE(C32:E32)))</f>
        <v>-1.216092368926299</v>
      </c>
      <c r="I32" s="19">
        <f ca="1"/>
        <v>-1.519357370190584</v>
      </c>
      <c r="J32" s="19">
        <f ca="1"/>
        <v>0.49903344718597586</v>
      </c>
      <c r="K32" s="20"/>
      <c r="M32" s="21">
        <f t="shared" ca="1" si="4"/>
        <v>7.8390763107370094E-3</v>
      </c>
      <c r="N32" s="21">
        <f t="shared" ca="1" si="5"/>
        <v>-3.0774294807623365E-2</v>
      </c>
      <c r="O32" s="21">
        <f t="shared" ca="1" si="6"/>
        <v>0.16485501707789638</v>
      </c>
    </row>
    <row r="33" spans="2:15">
      <c r="B33" s="12">
        <v>6</v>
      </c>
      <c r="C33" s="19">
        <f t="shared" ca="1" si="7"/>
        <v>0.61398747737044868</v>
      </c>
      <c r="D33" s="19">
        <f t="shared" ca="1" si="3"/>
        <v>-0.48004843029276523</v>
      </c>
      <c r="E33" s="19">
        <f t="shared" ca="1" si="3"/>
        <v>-0.30409533508968267</v>
      </c>
      <c r="F33" s="20"/>
      <c r="H33" s="19">
        <f t="array" aca="1" ref="H33:J33" ca="1">TRANSPOSE(MMULT(adjchol,TRANSPOSE(C33:E33)))</f>
        <v>0.61398747737044868</v>
      </c>
      <c r="I33" s="19">
        <f ca="1"/>
        <v>0.34334047006825452</v>
      </c>
      <c r="J33" s="19">
        <f ca="1"/>
        <v>0.53675302415575521</v>
      </c>
      <c r="K33" s="20"/>
      <c r="M33" s="21">
        <f t="shared" ca="1" si="4"/>
        <v>2.6139874773704486E-2</v>
      </c>
      <c r="N33" s="21">
        <f t="shared" ca="1" si="5"/>
        <v>4.3733618802730176E-2</v>
      </c>
      <c r="O33" s="21">
        <f t="shared" ca="1" si="6"/>
        <v>0.17051295362336327</v>
      </c>
    </row>
    <row r="34" spans="2:15">
      <c r="B34" s="12">
        <v>7</v>
      </c>
      <c r="C34" s="19">
        <f t="shared" ca="1" si="7"/>
        <v>0.18195762368060653</v>
      </c>
      <c r="D34" s="19">
        <f t="shared" ca="1" si="3"/>
        <v>-2.0806305815497712</v>
      </c>
      <c r="E34" s="19">
        <f t="shared" ca="1" si="3"/>
        <v>-0.18324551460897703</v>
      </c>
      <c r="F34" s="20"/>
      <c r="H34" s="19">
        <f t="array" aca="1" ref="H34:J34" ca="1">TRANSPOSE(MMULT(adjchol,TRANSPOSE(C34:E34)))</f>
        <v>0.18195762368060653</v>
      </c>
      <c r="I34" s="19">
        <f ca="1"/>
        <v>-0.74316398306902542</v>
      </c>
      <c r="J34" s="19">
        <f ca="1"/>
        <v>1.1370453394501467</v>
      </c>
      <c r="K34" s="20"/>
      <c r="M34" s="21">
        <f t="shared" ca="1" si="4"/>
        <v>2.1819576236806065E-2</v>
      </c>
      <c r="N34" s="21">
        <f t="shared" ca="1" si="5"/>
        <v>2.7344067723897997E-4</v>
      </c>
      <c r="O34" s="21">
        <f t="shared" ca="1" si="6"/>
        <v>0.26055680091752198</v>
      </c>
    </row>
    <row r="35" spans="2:15">
      <c r="B35" s="12">
        <v>8</v>
      </c>
      <c r="C35" s="19">
        <f t="shared" ca="1" si="7"/>
        <v>0.19559249071712684</v>
      </c>
      <c r="D35" s="19">
        <f t="shared" ca="1" si="3"/>
        <v>-2.0878687913969003</v>
      </c>
      <c r="E35" s="19">
        <f t="shared" ca="1" si="3"/>
        <v>-1.1037921514010791</v>
      </c>
      <c r="F35" s="20"/>
      <c r="H35" s="19">
        <f t="array" aca="1" ref="H35:J35" ca="1">TRANSPOSE(MMULT(adjchol,TRANSPOSE(C35:E35)))</f>
        <v>0.19559249071712684</v>
      </c>
      <c r="I35" s="19">
        <f ca="1"/>
        <v>-0.73404766526173493</v>
      </c>
      <c r="J35" s="19">
        <f ca="1"/>
        <v>0.70741759354798306</v>
      </c>
      <c r="K35" s="20"/>
      <c r="M35" s="21">
        <f t="shared" ca="1" si="4"/>
        <v>2.195592490717127E-2</v>
      </c>
      <c r="N35" s="21">
        <f t="shared" ca="1" si="5"/>
        <v>6.3809338953060152E-4</v>
      </c>
      <c r="O35" s="21">
        <f t="shared" ca="1" si="6"/>
        <v>0.19611263903219744</v>
      </c>
    </row>
    <row r="36" spans="2:15">
      <c r="B36" s="12">
        <v>9</v>
      </c>
      <c r="C36" s="19">
        <f t="shared" ca="1" si="7"/>
        <v>-0.70590392911311906</v>
      </c>
      <c r="D36" s="19">
        <f t="shared" ca="1" si="3"/>
        <v>1.2927225602886356</v>
      </c>
      <c r="E36" s="19">
        <f t="shared" ca="1" si="3"/>
        <v>-4.7089956760469842E-2</v>
      </c>
      <c r="F36" s="20"/>
      <c r="H36" s="19">
        <f t="array" aca="1" ref="H36:J36" ca="1">TRANSPOSE(MMULT(adjchol,TRANSPOSE(C36:E36)))</f>
        <v>-0.70590392911311906</v>
      </c>
      <c r="I36" s="19">
        <f ca="1"/>
        <v>-7.1828835968474447E-2</v>
      </c>
      <c r="J36" s="19">
        <f ca="1"/>
        <v>-1.1989067437833862</v>
      </c>
      <c r="K36" s="20"/>
      <c r="M36" s="21">
        <f t="shared" ca="1" si="4"/>
        <v>1.2940960708868809E-2</v>
      </c>
      <c r="N36" s="21">
        <f t="shared" ca="1" si="5"/>
        <v>2.712684656126102E-2</v>
      </c>
      <c r="O36" s="21">
        <f t="shared" ca="1" si="6"/>
        <v>-8.9836011567507923E-2</v>
      </c>
    </row>
    <row r="37" spans="2:15">
      <c r="B37" s="12">
        <v>10</v>
      </c>
      <c r="C37" s="19">
        <f t="shared" ca="1" si="7"/>
        <v>1.0975454591484253</v>
      </c>
      <c r="D37" s="19">
        <f t="shared" ca="1" si="3"/>
        <v>-0.2774096619050323</v>
      </c>
      <c r="E37" s="19">
        <f t="shared" ca="1" si="3"/>
        <v>0.44637133967515918</v>
      </c>
      <c r="F37" s="20"/>
      <c r="H37" s="19">
        <f t="array" aca="1" ref="H37:J37" ca="1">TRANSPOSE(MMULT(adjchol,TRANSPOSE(C37:E37)))</f>
        <v>1.0975454591484253</v>
      </c>
      <c r="I37" s="19">
        <f ca="1"/>
        <v>0.86687084501300071</v>
      </c>
      <c r="J37" s="19">
        <f ca="1"/>
        <v>1.1294644650062031</v>
      </c>
      <c r="K37" s="20"/>
      <c r="M37" s="21">
        <f t="shared" ca="1" si="4"/>
        <v>3.0975454591484253E-2</v>
      </c>
      <c r="N37" s="21">
        <f t="shared" ca="1" si="5"/>
        <v>6.4674833800520026E-2</v>
      </c>
      <c r="O37" s="21">
        <f t="shared" ca="1" si="6"/>
        <v>0.25941966975093045</v>
      </c>
    </row>
    <row r="38" spans="2:15">
      <c r="B38" s="12">
        <v>11</v>
      </c>
      <c r="C38" s="19">
        <f t="shared" ca="1" si="7"/>
        <v>0.50550831974823673</v>
      </c>
      <c r="D38" s="19">
        <f t="shared" ca="1" si="3"/>
        <v>-1.3033343288320376</v>
      </c>
      <c r="E38" s="19">
        <f t="shared" ca="1" si="3"/>
        <v>1.1003260740837566</v>
      </c>
      <c r="F38" s="20"/>
      <c r="H38" s="19">
        <f t="array" aca="1" ref="H38:J38" ca="1">TRANSPOSE(MMULT(adjchol,TRANSPOSE(C38:E38)))</f>
        <v>0.50550831974823673</v>
      </c>
      <c r="I38" s="19">
        <f ca="1"/>
        <v>-0.11315277512921296</v>
      </c>
      <c r="J38" s="19">
        <f ca="1"/>
        <v>1.5710743163329433</v>
      </c>
      <c r="K38" s="20"/>
      <c r="M38" s="21">
        <f t="shared" ca="1" si="4"/>
        <v>2.505508319748237E-2</v>
      </c>
      <c r="N38" s="21">
        <f t="shared" ca="1" si="5"/>
        <v>2.5473888994831481E-2</v>
      </c>
      <c r="O38" s="21">
        <f t="shared" ca="1" si="6"/>
        <v>0.32566114744994146</v>
      </c>
    </row>
    <row r="39" spans="2:15">
      <c r="B39" s="12">
        <v>12</v>
      </c>
      <c r="C39" s="19">
        <f t="shared" ca="1" si="7"/>
        <v>-0.69750450843443512</v>
      </c>
      <c r="D39" s="19">
        <f t="shared" ca="1" si="3"/>
        <v>1.1553469291078382</v>
      </c>
      <c r="E39" s="19">
        <f t="shared" ca="1" si="3"/>
        <v>0.12320695325704124</v>
      </c>
      <c r="F39" s="20"/>
      <c r="H39" s="19">
        <f t="array" aca="1" ref="H39:J39" ca="1">TRANSPOSE(MMULT(adjchol,TRANSPOSE(C39:E39)))</f>
        <v>-0.69750450843443512</v>
      </c>
      <c r="I39" s="19">
        <f ca="1"/>
        <v>-0.12415000671988008</v>
      </c>
      <c r="J39" s="19">
        <f ca="1"/>
        <v>-1.0385886609377051</v>
      </c>
      <c r="K39" s="20"/>
      <c r="M39" s="21">
        <f t="shared" ca="1" si="4"/>
        <v>1.302495491565565E-2</v>
      </c>
      <c r="N39" s="21">
        <f t="shared" ca="1" si="5"/>
        <v>2.5033999731204796E-2</v>
      </c>
      <c r="O39" s="21">
        <f t="shared" ca="1" si="6"/>
        <v>-6.5788299140655759E-2</v>
      </c>
    </row>
    <row r="40" spans="2:15">
      <c r="B40" s="12">
        <v>13</v>
      </c>
      <c r="C40" s="19">
        <f t="shared" ca="1" si="7"/>
        <v>-0.17905819359505734</v>
      </c>
      <c r="D40" s="19">
        <f t="shared" ca="1" si="3"/>
        <v>0.95344469134655829</v>
      </c>
      <c r="E40" s="19">
        <f t="shared" ca="1" si="3"/>
        <v>1.2170261023859805</v>
      </c>
      <c r="F40" s="20"/>
      <c r="H40" s="19">
        <f t="array" aca="1" ref="H40:J40" ca="1">TRANSPOSE(MMULT(adjchol,TRANSPOSE(C40:E40)))</f>
        <v>-0.17905819359505734</v>
      </c>
      <c r="I40" s="19">
        <f ca="1"/>
        <v>0.25444453154794594</v>
      </c>
      <c r="J40" s="19">
        <f ca="1"/>
        <v>-4.276651119110797E-2</v>
      </c>
      <c r="K40" s="20"/>
      <c r="M40" s="21">
        <f t="shared" ca="1" si="4"/>
        <v>1.8209418064049427E-2</v>
      </c>
      <c r="N40" s="21">
        <f t="shared" ca="1" si="5"/>
        <v>4.0177781261917837E-2</v>
      </c>
      <c r="O40" s="21">
        <f t="shared" ca="1" si="6"/>
        <v>8.3585023321333801E-2</v>
      </c>
    </row>
    <row r="41" spans="2:15">
      <c r="B41" s="12">
        <v>14</v>
      </c>
      <c r="C41" s="19">
        <f t="shared" ca="1" si="7"/>
        <v>0.1421648465062271</v>
      </c>
      <c r="D41" s="19">
        <f t="shared" ca="1" si="3"/>
        <v>-0.42772723943589558</v>
      </c>
      <c r="E41" s="19">
        <f t="shared" ca="1" si="3"/>
        <v>0.5153456429471488</v>
      </c>
      <c r="F41" s="20"/>
      <c r="H41" s="19">
        <f t="array" aca="1" ref="H41:J41" ca="1">TRANSPOSE(MMULT(adjchol,TRANSPOSE(C41:E41)))</f>
        <v>0.1421648465062271</v>
      </c>
      <c r="I41" s="19">
        <f ca="1"/>
        <v>-5.8493619354464954E-2</v>
      </c>
      <c r="J41" s="19">
        <f ca="1"/>
        <v>0.57320629886456254</v>
      </c>
      <c r="K41" s="20"/>
      <c r="M41" s="21">
        <f t="shared" ca="1" si="4"/>
        <v>2.1421648465062271E-2</v>
      </c>
      <c r="N41" s="21">
        <f t="shared" ca="1" si="5"/>
        <v>2.7660255225821401E-2</v>
      </c>
      <c r="O41" s="21">
        <f t="shared" ca="1" si="6"/>
        <v>0.17598094482968438</v>
      </c>
    </row>
    <row r="42" spans="2:15">
      <c r="B42" s="12">
        <v>15</v>
      </c>
      <c r="C42" s="19">
        <f t="shared" ca="1" si="7"/>
        <v>0.74558698265787915</v>
      </c>
      <c r="D42" s="19">
        <f t="shared" ca="1" si="3"/>
        <v>-1.0664418377938227</v>
      </c>
      <c r="E42" s="19">
        <f t="shared" ca="1" si="3"/>
        <v>0.31290152721165299</v>
      </c>
      <c r="F42" s="20"/>
      <c r="H42" s="19">
        <f t="array" aca="1" ref="H42:J42" ca="1">TRANSPOSE(MMULT(adjchol,TRANSPOSE(C42:E42)))</f>
        <v>0.74558698265787915</v>
      </c>
      <c r="I42" s="19">
        <f ca="1"/>
        <v>0.20617706438138456</v>
      </c>
      <c r="J42" s="19">
        <f ca="1"/>
        <v>1.2352020303918745</v>
      </c>
      <c r="K42" s="20"/>
      <c r="M42" s="21">
        <f t="shared" ca="1" si="4"/>
        <v>2.7455869826578792E-2</v>
      </c>
      <c r="N42" s="21">
        <f t="shared" ca="1" si="5"/>
        <v>3.824708257525538E-2</v>
      </c>
      <c r="O42" s="21">
        <f t="shared" ca="1" si="6"/>
        <v>0.27528030455878116</v>
      </c>
    </row>
    <row r="43" spans="2:15">
      <c r="B43" s="12">
        <v>16</v>
      </c>
      <c r="C43" s="19">
        <f t="shared" ca="1" si="7"/>
        <v>-0.16838051019027769</v>
      </c>
      <c r="D43" s="19">
        <f t="shared" ca="1" si="3"/>
        <v>-0.49549136325686727</v>
      </c>
      <c r="E43" s="19">
        <f t="shared" ca="1" si="3"/>
        <v>0.71794151216332447</v>
      </c>
      <c r="F43" s="20"/>
      <c r="H43" s="19">
        <f t="array" aca="1" ref="H43:J43" ca="1">TRANSPOSE(MMULT(adjchol,TRANSPOSE(C43:E43)))</f>
        <v>-0.16838051019027769</v>
      </c>
      <c r="I43" s="19">
        <f ca="1"/>
        <v>-0.36752213715463855</v>
      </c>
      <c r="J43" s="19">
        <f ca="1"/>
        <v>0.48907521013170741</v>
      </c>
      <c r="K43" s="20"/>
      <c r="M43" s="21">
        <f t="shared" ca="1" si="4"/>
        <v>1.8316194898097223E-2</v>
      </c>
      <c r="N43" s="21">
        <f t="shared" ca="1" si="5"/>
        <v>1.5299114513814457E-2</v>
      </c>
      <c r="O43" s="21">
        <f t="shared" ca="1" si="6"/>
        <v>0.1633612815197561</v>
      </c>
    </row>
    <row r="44" spans="2:15">
      <c r="B44" s="12">
        <v>17</v>
      </c>
      <c r="C44" s="19">
        <f t="shared" ca="1" si="7"/>
        <v>2.0574159996274277</v>
      </c>
      <c r="D44" s="19">
        <f t="shared" ca="1" si="7"/>
        <v>5.4517215491359239E-2</v>
      </c>
      <c r="E44" s="19">
        <f t="shared" ca="1" si="7"/>
        <v>1.1380227426744254</v>
      </c>
      <c r="F44" s="20"/>
      <c r="H44" s="19">
        <f t="array" aca="1" ref="H44:J44" ca="1">TRANSPOSE(MMULT(adjchol,TRANSPOSE(C44:E44)))</f>
        <v>2.0574159996274277</v>
      </c>
      <c r="I44" s="19">
        <f ca="1"/>
        <v>1.8754379029656914</v>
      </c>
      <c r="J44" s="19">
        <f ca="1"/>
        <v>1.9590715586410949</v>
      </c>
      <c r="K44" s="20"/>
      <c r="M44" s="21">
        <f t="shared" ca="1" si="4"/>
        <v>4.0574159996274277E-2</v>
      </c>
      <c r="N44" s="21">
        <f t="shared" ca="1" si="5"/>
        <v>0.10501751611862765</v>
      </c>
      <c r="O44" s="21">
        <f t="shared" ca="1" si="6"/>
        <v>0.38386073379616426</v>
      </c>
    </row>
    <row r="45" spans="2:15">
      <c r="B45" s="12">
        <v>18</v>
      </c>
      <c r="C45" s="19">
        <f t="shared" ca="1" si="7"/>
        <v>0.57829979791725339</v>
      </c>
      <c r="D45" s="19">
        <f t="shared" ca="1" si="7"/>
        <v>-0.81177458153611814</v>
      </c>
      <c r="E45" s="19">
        <f t="shared" ca="1" si="7"/>
        <v>0.17587388954966035</v>
      </c>
      <c r="F45" s="20"/>
      <c r="H45" s="19">
        <f t="array" aca="1" ref="H45:J45" ca="1">TRANSPOSE(MMULT(adjchol,TRANSPOSE(C45:E45)))</f>
        <v>0.57829979791725339</v>
      </c>
      <c r="I45" s="19">
        <f ca="1"/>
        <v>0.16662548154043233</v>
      </c>
      <c r="J45" s="19">
        <f ca="1"/>
        <v>0.91778291654107014</v>
      </c>
      <c r="K45" s="20"/>
      <c r="M45" s="21">
        <f t="shared" ca="1" si="4"/>
        <v>2.5782997979172533E-2</v>
      </c>
      <c r="N45" s="21">
        <f t="shared" ca="1" si="5"/>
        <v>3.666501926161729E-2</v>
      </c>
      <c r="O45" s="21">
        <f t="shared" ca="1" si="6"/>
        <v>0.2276674374811605</v>
      </c>
    </row>
    <row r="46" spans="2:15">
      <c r="B46" s="12">
        <v>19</v>
      </c>
      <c r="C46" s="19">
        <f t="shared" ca="1" si="7"/>
        <v>-1.4246940040207097</v>
      </c>
      <c r="D46" s="19">
        <f t="shared" ca="1" si="7"/>
        <v>-0.73968792697531605</v>
      </c>
      <c r="E46" s="19">
        <f t="shared" ca="1" si="7"/>
        <v>0.29312006426340537</v>
      </c>
      <c r="F46" s="20"/>
      <c r="H46" s="19">
        <f t="array" aca="1" ref="H46:J46" ca="1">TRANSPOSE(MMULT(adjchol,TRANSPOSE(C46:E46)))</f>
        <v>-1.4246940040207097</v>
      </c>
      <c r="I46" s="19">
        <f ca="1"/>
        <v>-1.6046470959628882</v>
      </c>
      <c r="J46" s="19">
        <f ca="1"/>
        <v>-0.46592774749028076</v>
      </c>
      <c r="K46" s="20"/>
      <c r="M46" s="21">
        <f t="shared" ca="1" si="4"/>
        <v>5.7530599597929027E-3</v>
      </c>
      <c r="N46" s="21">
        <f t="shared" ca="1" si="5"/>
        <v>-3.4185883838515535E-2</v>
      </c>
      <c r="O46" s="21">
        <f t="shared" ca="1" si="6"/>
        <v>2.0110837876457885E-2</v>
      </c>
    </row>
    <row r="47" spans="2:15">
      <c r="B47" s="12">
        <v>20</v>
      </c>
      <c r="C47" s="19">
        <f t="shared" ca="1" si="7"/>
        <v>-1.3205325583456069</v>
      </c>
      <c r="D47" s="19">
        <f t="shared" ca="1" si="7"/>
        <v>-0.83056009364025141</v>
      </c>
      <c r="E47" s="19">
        <f t="shared" ca="1" si="7"/>
        <v>0.9303699842305323</v>
      </c>
      <c r="F47" s="20"/>
      <c r="H47" s="19">
        <f t="array" aca="1" ref="H47:J47" ca="1">TRANSPOSE(MMULT(adjchol,TRANSPOSE(C47:E47)))</f>
        <v>-1.3205325583456069</v>
      </c>
      <c r="I47" s="19">
        <f ca="1"/>
        <v>-1.5505120539825996</v>
      </c>
      <c r="J47" s="19">
        <f ca="1"/>
        <v>-3.84039238276635E-2</v>
      </c>
      <c r="K47" s="20"/>
      <c r="M47" s="21">
        <f t="shared" ca="1" si="4"/>
        <v>6.7946744165439318E-3</v>
      </c>
      <c r="N47" s="21">
        <f t="shared" ca="1" si="5"/>
        <v>-3.202048215930399E-2</v>
      </c>
      <c r="O47" s="21">
        <f t="shared" ca="1" si="6"/>
        <v>8.4239411425850466E-2</v>
      </c>
    </row>
    <row r="48" spans="2:15">
      <c r="B48" s="12">
        <v>21</v>
      </c>
      <c r="C48" s="19">
        <f t="shared" ca="1" si="7"/>
        <v>1.0435662571277831</v>
      </c>
      <c r="D48" s="19">
        <f t="shared" ca="1" si="7"/>
        <v>0.82611057227032281</v>
      </c>
      <c r="E48" s="19">
        <f t="shared" ca="1" si="7"/>
        <v>1.7303697164349208</v>
      </c>
      <c r="F48" s="20"/>
      <c r="H48" s="19">
        <f t="array" aca="1" ref="H48:J48" ca="1">TRANSPOSE(MMULT(adjchol,TRANSPOSE(C48:E48)))</f>
        <v>1.0435662571277831</v>
      </c>
      <c r="I48" s="19">
        <f ca="1"/>
        <v>1.2993028814866938</v>
      </c>
      <c r="J48" s="19">
        <f ca="1"/>
        <v>1.1272937924980695</v>
      </c>
      <c r="K48" s="20"/>
      <c r="M48" s="21">
        <f t="shared" ca="1" si="4"/>
        <v>3.0435662571277833E-2</v>
      </c>
      <c r="N48" s="21">
        <f t="shared" ca="1" si="5"/>
        <v>8.1972115259467751E-2</v>
      </c>
      <c r="O48" s="21">
        <f t="shared" ca="1" si="6"/>
        <v>0.25909406887471043</v>
      </c>
    </row>
    <row r="49" spans="2:15">
      <c r="B49" s="12">
        <v>22</v>
      </c>
      <c r="C49" s="19">
        <f t="shared" ca="1" si="7"/>
        <v>-1.1220163369174683</v>
      </c>
      <c r="D49" s="19">
        <f t="shared" ca="1" si="7"/>
        <v>2.1138364448835221</v>
      </c>
      <c r="E49" s="19">
        <f t="shared" ca="1" si="7"/>
        <v>1.7733351748248862</v>
      </c>
      <c r="F49" s="20"/>
      <c r="H49" s="19">
        <f t="array" aca="1" ref="H49:J49" ca="1">TRANSPOSE(MMULT(adjchol,TRANSPOSE(C49:E49)))</f>
        <v>-1.1220163369174683</v>
      </c>
      <c r="I49" s="19">
        <f ca="1"/>
        <v>-8.8414758583665876E-2</v>
      </c>
      <c r="J49" s="19">
        <f ca="1"/>
        <v>-1.0474144310410618</v>
      </c>
      <c r="K49" s="20"/>
      <c r="M49" s="21">
        <f t="shared" ca="1" si="4"/>
        <v>8.7798366308253183E-3</v>
      </c>
      <c r="N49" s="21">
        <f t="shared" ca="1" si="5"/>
        <v>2.6463409656653364E-2</v>
      </c>
      <c r="O49" s="21">
        <f t="shared" ca="1" si="6"/>
        <v>-6.7112164656159268E-2</v>
      </c>
    </row>
    <row r="50" spans="2:15">
      <c r="B50" s="12">
        <v>23</v>
      </c>
      <c r="C50" s="19">
        <f t="shared" ca="1" si="7"/>
        <v>0.96055514021742527</v>
      </c>
      <c r="D50" s="19">
        <f t="shared" ca="1" si="7"/>
        <v>-0.81163003573941239</v>
      </c>
      <c r="E50" s="19">
        <f t="shared" ca="1" si="7"/>
        <v>-1.6682899499679893</v>
      </c>
      <c r="F50" s="20"/>
      <c r="H50" s="19">
        <f t="array" aca="1" ref="H50:J50" ca="1">TRANSPOSE(MMULT(adjchol,TRANSPOSE(C50:E50)))</f>
        <v>0.96055514021742527</v>
      </c>
      <c r="I50" s="19">
        <f ca="1"/>
        <v>0.51071829566264237</v>
      </c>
      <c r="J50" s="19">
        <f ca="1"/>
        <v>0.29782486987436818</v>
      </c>
      <c r="K50" s="20"/>
      <c r="M50" s="21">
        <f t="shared" ca="1" si="4"/>
        <v>2.9605551402174253E-2</v>
      </c>
      <c r="N50" s="21">
        <f t="shared" ca="1" si="5"/>
        <v>5.0428731826505695E-2</v>
      </c>
      <c r="O50" s="21">
        <f t="shared" ca="1" si="6"/>
        <v>0.13467373048115522</v>
      </c>
    </row>
    <row r="51" spans="2:15">
      <c r="B51" s="12">
        <v>24</v>
      </c>
      <c r="C51" s="19">
        <f t="shared" ca="1" si="7"/>
        <v>-0.67248320136765039</v>
      </c>
      <c r="D51" s="19">
        <f t="shared" ca="1" si="7"/>
        <v>0.75635184058568983</v>
      </c>
      <c r="E51" s="19">
        <f t="shared" ca="1" si="7"/>
        <v>0.43511654246111386</v>
      </c>
      <c r="F51" s="20"/>
      <c r="H51" s="19">
        <f t="array" aca="1" ref="H51:J51" ca="1">TRANSPOSE(MMULT(adjchol,TRANSPOSE(C51:E51)))</f>
        <v>-0.67248320136765039</v>
      </c>
      <c r="I51" s="19">
        <f ca="1"/>
        <v>-0.27554875734348466</v>
      </c>
      <c r="J51" s="19">
        <f ca="1"/>
        <v>-0.6604423576668299</v>
      </c>
      <c r="K51" s="20"/>
      <c r="M51" s="21">
        <f t="shared" ca="1" si="4"/>
        <v>1.3275167986323496E-2</v>
      </c>
      <c r="N51" s="21">
        <f t="shared" ca="1" si="5"/>
        <v>1.8978049706260613E-2</v>
      </c>
      <c r="O51" s="21">
        <f t="shared" ca="1" si="6"/>
        <v>-9.0663536500244918E-3</v>
      </c>
    </row>
    <row r="52" spans="2:15">
      <c r="B52" s="12">
        <v>25</v>
      </c>
      <c r="C52" s="19">
        <f t="shared" ca="1" si="7"/>
        <v>-0.43819280553271439</v>
      </c>
      <c r="D52" s="19">
        <f t="shared" ca="1" si="7"/>
        <v>1.9740304826009545</v>
      </c>
      <c r="E52" s="19">
        <f t="shared" ca="1" si="7"/>
        <v>-0.61369958057743068</v>
      </c>
      <c r="F52" s="20"/>
      <c r="H52" s="19">
        <f t="array" aca="1" ref="H52:J52" ca="1">TRANSPOSE(MMULT(adjchol,TRANSPOSE(C52:E52)))</f>
        <v>-0.43819280553271439</v>
      </c>
      <c r="I52" s="19">
        <f ca="1"/>
        <v>0.46608641353319552</v>
      </c>
      <c r="J52" s="19">
        <f ca="1"/>
        <v>-1.6436728662929028</v>
      </c>
      <c r="K52" s="20"/>
      <c r="M52" s="21">
        <f t="shared" ca="1" si="4"/>
        <v>1.5618071944672856E-2</v>
      </c>
      <c r="N52" s="21">
        <f t="shared" ca="1" si="5"/>
        <v>4.8643456541327817E-2</v>
      </c>
      <c r="O52" s="21">
        <f t="shared" ca="1" si="6"/>
        <v>-0.15655092994393541</v>
      </c>
    </row>
    <row r="53" spans="2:15">
      <c r="B53" s="12">
        <v>26</v>
      </c>
      <c r="C53" s="19">
        <f t="shared" ca="1" si="7"/>
        <v>0.28546935564483877</v>
      </c>
      <c r="D53" s="19">
        <f t="shared" ca="1" si="7"/>
        <v>-0.67807569708500048</v>
      </c>
      <c r="E53" s="19">
        <f t="shared" ca="1" si="7"/>
        <v>-3.7893054866799565E-2</v>
      </c>
      <c r="F53" s="20"/>
      <c r="H53" s="19">
        <f t="array" aca="1" ref="H53:J53" ca="1">TRANSPOSE(MMULT(adjchol,TRANSPOSE(C53:E53)))</f>
        <v>0.28546935564483877</v>
      </c>
      <c r="I53" s="19">
        <f ca="1"/>
        <v>-3.8643923886086451E-2</v>
      </c>
      <c r="J53" s="19">
        <f ca="1"/>
        <v>0.53938424409587049</v>
      </c>
      <c r="K53" s="20"/>
      <c r="M53" s="21">
        <f t="shared" ca="1" si="4"/>
        <v>2.285469355644839E-2</v>
      </c>
      <c r="N53" s="21">
        <f t="shared" ca="1" si="5"/>
        <v>2.845424304455654E-2</v>
      </c>
      <c r="O53" s="21">
        <f t="shared" ca="1" si="6"/>
        <v>0.17090763661438058</v>
      </c>
    </row>
    <row r="54" spans="2:15">
      <c r="B54" s="12">
        <v>27</v>
      </c>
      <c r="C54" s="19">
        <f t="shared" ca="1" si="7"/>
        <v>-0.13906247581583345</v>
      </c>
      <c r="D54" s="19">
        <f t="shared" ca="1" si="7"/>
        <v>-0.77673166960062012</v>
      </c>
      <c r="E54" s="19">
        <f t="shared" ca="1" si="7"/>
        <v>-0.88350674174974853</v>
      </c>
      <c r="F54" s="20"/>
      <c r="H54" s="19">
        <f t="array" aca="1" ref="H54:J54" ca="1">TRANSPOSE(MMULT(adjchol,TRANSPOSE(C54:E54)))</f>
        <v>-0.13906247581583345</v>
      </c>
      <c r="I54" s="19">
        <f ca="1"/>
        <v>-0.4637257136379227</v>
      </c>
      <c r="J54" s="19">
        <f ca="1"/>
        <v>-0.11266332113993843</v>
      </c>
      <c r="K54" s="20"/>
      <c r="M54" s="21">
        <f t="shared" ca="1" si="4"/>
        <v>1.8609375241841666E-2</v>
      </c>
      <c r="N54" s="21">
        <f t="shared" ca="1" si="5"/>
        <v>1.1450971454483091E-2</v>
      </c>
      <c r="O54" s="21">
        <f t="shared" ca="1" si="6"/>
        <v>7.3100501829009235E-2</v>
      </c>
    </row>
    <row r="55" spans="2:15">
      <c r="B55" s="12">
        <v>28</v>
      </c>
      <c r="C55" s="19">
        <f t="shared" ca="1" si="7"/>
        <v>-0.12844555369679725</v>
      </c>
      <c r="D55" s="19">
        <f t="shared" ca="1" si="7"/>
        <v>1.9251371603558668E-2</v>
      </c>
      <c r="E55" s="19">
        <f t="shared" ca="1" si="7"/>
        <v>-1.9501951533971855</v>
      </c>
      <c r="F55" s="20"/>
      <c r="H55" s="19">
        <f t="array" aca="1" ref="H55:J55" ca="1">TRANSPOSE(MMULT(adjchol,TRANSPOSE(C55:E55)))</f>
        <v>-0.12844555369679725</v>
      </c>
      <c r="I55" s="19">
        <f ca="1"/>
        <v>-0.10720951999267145</v>
      </c>
      <c r="J55" s="19">
        <f ca="1"/>
        <v>-1.0385555871391814</v>
      </c>
      <c r="K55" s="20"/>
      <c r="M55" s="21">
        <f t="shared" ca="1" si="4"/>
        <v>1.8715544463032027E-2</v>
      </c>
      <c r="N55" s="21">
        <f t="shared" ca="1" si="5"/>
        <v>2.5711619200293141E-2</v>
      </c>
      <c r="O55" s="21">
        <f t="shared" ca="1" si="6"/>
        <v>-6.5783338070877218E-2</v>
      </c>
    </row>
    <row r="56" spans="2:15">
      <c r="B56" s="12">
        <v>29</v>
      </c>
      <c r="C56" s="19">
        <f t="shared" ca="1" si="7"/>
        <v>-1.3652052115268056</v>
      </c>
      <c r="D56" s="19">
        <f t="shared" ca="1" si="7"/>
        <v>-0.33012788226491246</v>
      </c>
      <c r="E56" s="19">
        <f t="shared" ca="1" si="7"/>
        <v>-1.8383657587402836E-2</v>
      </c>
      <c r="F56" s="20"/>
      <c r="H56" s="19">
        <f t="array" aca="1" ref="H56:J56" ca="1">TRANSPOSE(MMULT(adjchol,TRANSPOSE(C56:E56)))</f>
        <v>-1.3652052115268056</v>
      </c>
      <c r="I56" s="19">
        <f ca="1"/>
        <v>-1.3725840980979098</v>
      </c>
      <c r="J56" s="19">
        <f ca="1"/>
        <v>-0.79029633144915457</v>
      </c>
      <c r="K56" s="20"/>
      <c r="M56" s="21">
        <f t="shared" ca="1" si="4"/>
        <v>6.3479478847319436E-3</v>
      </c>
      <c r="N56" s="21">
        <f t="shared" ca="1" si="5"/>
        <v>-2.4903363923916393E-2</v>
      </c>
      <c r="O56" s="21">
        <f t="shared" ca="1" si="6"/>
        <v>-2.8544449717373188E-2</v>
      </c>
    </row>
    <row r="57" spans="2:15">
      <c r="B57" s="12">
        <v>30</v>
      </c>
      <c r="C57" s="19">
        <f t="shared" ca="1" si="7"/>
        <v>-0.45524253853638719</v>
      </c>
      <c r="D57" s="19">
        <f t="shared" ca="1" si="7"/>
        <v>-0.49869850328376503</v>
      </c>
      <c r="E57" s="19">
        <f t="shared" ca="1" si="7"/>
        <v>-2.443501432175637</v>
      </c>
      <c r="F57" s="20"/>
      <c r="H57" s="19">
        <f t="array" aca="1" ref="H57:J57" ca="1">TRANSPOSE(MMULT(adjchol,TRANSPOSE(C57:E57)))</f>
        <v>-0.45524253853638719</v>
      </c>
      <c r="I57" s="19">
        <f ca="1"/>
        <v>-0.62709592259364033</v>
      </c>
      <c r="J57" s="19">
        <f ca="1"/>
        <v>-1.2314060755555281</v>
      </c>
      <c r="K57" s="20"/>
      <c r="M57" s="21">
        <f t="shared" ca="1" si="4"/>
        <v>1.5447574614636129E-2</v>
      </c>
      <c r="N57" s="21">
        <f t="shared" ca="1" si="5"/>
        <v>4.9161630962543841E-3</v>
      </c>
      <c r="O57" s="21">
        <f t="shared" ca="1" si="6"/>
        <v>-9.4710911333329206E-2</v>
      </c>
    </row>
    <row r="58" spans="2:15">
      <c r="B58" s="12">
        <v>31</v>
      </c>
      <c r="C58" s="19">
        <f t="shared" ca="1" si="7"/>
        <v>2.0956042971616107</v>
      </c>
      <c r="D58" s="19">
        <f t="shared" ca="1" si="7"/>
        <v>0.79012107015271937</v>
      </c>
      <c r="E58" s="19">
        <f t="shared" ca="1" si="7"/>
        <v>-0.17105923364947631</v>
      </c>
      <c r="F58" s="20"/>
      <c r="H58" s="19">
        <f t="array" aca="1" ref="H58:J58" ca="1">TRANSPOSE(MMULT(adjchol,TRANSPOSE(C58:E58)))</f>
        <v>2.0956042971616107</v>
      </c>
      <c r="I58" s="19">
        <f ca="1"/>
        <v>2.2304496572412411</v>
      </c>
      <c r="J58" s="19">
        <f ca="1"/>
        <v>0.96769249930828638</v>
      </c>
      <c r="K58" s="20"/>
      <c r="M58" s="21">
        <f t="shared" ca="1" si="4"/>
        <v>4.0956042971616105E-2</v>
      </c>
      <c r="N58" s="21">
        <f t="shared" ca="1" si="5"/>
        <v>0.11921798628964965</v>
      </c>
      <c r="O58" s="21">
        <f t="shared" ca="1" si="6"/>
        <v>0.23515387489624295</v>
      </c>
    </row>
    <row r="59" spans="2:15">
      <c r="B59" s="12">
        <v>32</v>
      </c>
      <c r="C59" s="19">
        <f t="shared" ca="1" si="7"/>
        <v>0.19952767978625427</v>
      </c>
      <c r="D59" s="19">
        <f t="shared" ca="1" si="7"/>
        <v>0.7710649255543045</v>
      </c>
      <c r="E59" s="19">
        <f t="shared" ca="1" si="7"/>
        <v>1.5225374751421878</v>
      </c>
      <c r="F59" s="20"/>
      <c r="H59" s="19">
        <f t="array" aca="1" ref="H59:J59" ca="1">TRANSPOSE(MMULT(adjchol,TRANSPOSE(C59:E59)))</f>
        <v>0.19952767978625427</v>
      </c>
      <c r="I59" s="19">
        <f ca="1"/>
        <v>0.51567432074762132</v>
      </c>
      <c r="J59" s="19">
        <f ca="1"/>
        <v>0.46549758173922307</v>
      </c>
      <c r="K59" s="20"/>
      <c r="M59" s="21">
        <f t="shared" ca="1" si="4"/>
        <v>2.1995276797862544E-2</v>
      </c>
      <c r="N59" s="21">
        <f t="shared" ca="1" si="5"/>
        <v>5.0626972829904852E-2</v>
      </c>
      <c r="O59" s="21">
        <f t="shared" ca="1" si="6"/>
        <v>0.15982463726088347</v>
      </c>
    </row>
    <row r="60" spans="2:15">
      <c r="B60" s="12">
        <v>33</v>
      </c>
      <c r="C60" s="19">
        <f t="shared" ca="1" si="7"/>
        <v>1.5879076216333632</v>
      </c>
      <c r="D60" s="19">
        <f t="shared" ca="1" si="7"/>
        <v>0.99989232425413832</v>
      </c>
      <c r="E60" s="19">
        <f t="shared" ca="1" si="7"/>
        <v>2.1509478009044836</v>
      </c>
      <c r="F60" s="20"/>
      <c r="H60" s="19">
        <f t="array" aca="1" ref="H60:J60" ca="1">TRANSPOSE(MMULT(adjchol,TRANSPOSE(C60:E60)))</f>
        <v>1.5879076216333632</v>
      </c>
      <c r="I60" s="19">
        <f ca="1"/>
        <v>1.8649598190546062</v>
      </c>
      <c r="J60" s="19">
        <f ca="1"/>
        <v>1.6190290517790791</v>
      </c>
      <c r="K60" s="20"/>
      <c r="M60" s="21">
        <f t="shared" ca="1" si="4"/>
        <v>3.5879076216333627E-2</v>
      </c>
      <c r="N60" s="21">
        <f t="shared" ca="1" si="5"/>
        <v>0.10459839276218424</v>
      </c>
      <c r="O60" s="21">
        <f t="shared" ca="1" si="6"/>
        <v>0.33285435776686184</v>
      </c>
    </row>
    <row r="61" spans="2:15">
      <c r="B61" s="12">
        <v>34</v>
      </c>
      <c r="C61" s="19">
        <f t="shared" ca="1" si="7"/>
        <v>1.077331214194337</v>
      </c>
      <c r="D61" s="19">
        <f t="shared" ca="1" si="7"/>
        <v>0.36112551555262917</v>
      </c>
      <c r="E61" s="19">
        <f t="shared" ca="1" si="7"/>
        <v>-0.29069187686317788</v>
      </c>
      <c r="F61" s="20"/>
      <c r="H61" s="19">
        <f t="array" aca="1" ref="H61:J61" ca="1">TRANSPOSE(MMULT(adjchol,TRANSPOSE(C61:E61)))</f>
        <v>1.077331214194337</v>
      </c>
      <c r="I61" s="19">
        <f ca="1"/>
        <v>1.1270090555976968</v>
      </c>
      <c r="J61" s="19">
        <f ca="1"/>
        <v>0.42369310163790513</v>
      </c>
      <c r="K61" s="20"/>
      <c r="M61" s="21">
        <f t="shared" ca="1" si="4"/>
        <v>3.0773312141943371E-2</v>
      </c>
      <c r="N61" s="21">
        <f t="shared" ca="1" si="5"/>
        <v>7.5080362223907876E-2</v>
      </c>
      <c r="O61" s="21">
        <f t="shared" ca="1" si="6"/>
        <v>0.15355396524568576</v>
      </c>
    </row>
    <row r="62" spans="2:15">
      <c r="B62" s="12">
        <v>35</v>
      </c>
      <c r="C62" s="19">
        <f t="shared" ca="1" si="7"/>
        <v>-4.9043920730221097E-2</v>
      </c>
      <c r="D62" s="19">
        <f t="shared" ca="1" si="7"/>
        <v>-0.64706052179847473</v>
      </c>
      <c r="E62" s="19">
        <f t="shared" ca="1" si="7"/>
        <v>-2.1884103430173454</v>
      </c>
      <c r="F62" s="20"/>
      <c r="H62" s="19">
        <f t="array" aca="1" ref="H62:J62" ca="1">TRANSPOSE(MMULT(adjchol,TRANSPOSE(C62:E62)))</f>
        <v>-4.9043920730221097E-2</v>
      </c>
      <c r="I62" s="19">
        <f ca="1"/>
        <v>-0.3261866711446238</v>
      </c>
      <c r="J62" s="19">
        <f ca="1"/>
        <v>-0.74602631314275203</v>
      </c>
      <c r="K62" s="20"/>
      <c r="M62" s="21">
        <f t="shared" ca="1" si="4"/>
        <v>1.9509560792697788E-2</v>
      </c>
      <c r="N62" s="21">
        <f t="shared" ca="1" si="5"/>
        <v>1.6952533154215049E-2</v>
      </c>
      <c r="O62" s="21">
        <f t="shared" ca="1" si="6"/>
        <v>-2.1903946971412805E-2</v>
      </c>
    </row>
    <row r="63" spans="2:15">
      <c r="B63" s="12">
        <v>36</v>
      </c>
      <c r="C63" s="19">
        <f t="shared" ca="1" si="7"/>
        <v>0.98746972297080338</v>
      </c>
      <c r="D63" s="19">
        <f t="shared" ca="1" si="7"/>
        <v>0.39618172098041909</v>
      </c>
      <c r="E63" s="19">
        <f t="shared" ca="1" si="7"/>
        <v>-0.50060997304885879</v>
      </c>
      <c r="F63" s="20"/>
      <c r="H63" s="19">
        <f t="array" aca="1" ref="H63:J63" ca="1">TRANSPOSE(MMULT(adjchol,TRANSPOSE(C63:E63)))</f>
        <v>0.98746972297080338</v>
      </c>
      <c r="I63" s="19">
        <f ca="1"/>
        <v>1.0614143591768905</v>
      </c>
      <c r="J63" s="19">
        <f ca="1"/>
        <v>0.2412742826802311</v>
      </c>
      <c r="K63" s="20"/>
      <c r="M63" s="21">
        <f t="shared" ca="1" si="4"/>
        <v>2.9874697229708036E-2</v>
      </c>
      <c r="N63" s="21">
        <f t="shared" ca="1" si="5"/>
        <v>7.2456574367075616E-2</v>
      </c>
      <c r="O63" s="21">
        <f t="shared" ca="1" si="6"/>
        <v>0.12619114240203466</v>
      </c>
    </row>
    <row r="64" spans="2:15">
      <c r="B64" s="12">
        <v>37</v>
      </c>
      <c r="C64" s="19">
        <f t="shared" ca="1" si="7"/>
        <v>0.51420921826037569</v>
      </c>
      <c r="D64" s="19">
        <f t="shared" ca="1" si="7"/>
        <v>-0.43072409268435274</v>
      </c>
      <c r="E64" s="19">
        <f t="shared" ca="1" si="7"/>
        <v>0.80729373794316039</v>
      </c>
      <c r="F64" s="20"/>
      <c r="H64" s="19">
        <f t="array" aca="1" ref="H64:J64" ca="1">TRANSPOSE(MMULT(adjchol,TRANSPOSE(C64:E64)))</f>
        <v>0.51420921826037569</v>
      </c>
      <c r="I64" s="19">
        <f ca="1"/>
        <v>0.27504001717840409</v>
      </c>
      <c r="J64" s="19">
        <f ca="1"/>
        <v>0.97571182811993307</v>
      </c>
      <c r="K64" s="20"/>
      <c r="M64" s="21">
        <f t="shared" ca="1" si="4"/>
        <v>2.5142092182603756E-2</v>
      </c>
      <c r="N64" s="21">
        <f t="shared" ca="1" si="5"/>
        <v>4.1001600687136167E-2</v>
      </c>
      <c r="O64" s="21">
        <f t="shared" ca="1" si="6"/>
        <v>0.23635677421798995</v>
      </c>
    </row>
    <row r="65" spans="2:15">
      <c r="B65" s="12">
        <v>38</v>
      </c>
      <c r="C65" s="19">
        <f t="shared" ca="1" si="7"/>
        <v>-0.16026204312262116</v>
      </c>
      <c r="D65" s="19">
        <f t="shared" ca="1" si="7"/>
        <v>0.90572624175230043</v>
      </c>
      <c r="E65" s="19">
        <f t="shared" ca="1" si="7"/>
        <v>0.56583964205156034</v>
      </c>
      <c r="F65" s="20"/>
      <c r="H65" s="19">
        <f t="array" aca="1" ref="H65:J65" ca="1">TRANSPOSE(MMULT(adjchol,TRANSPOSE(C65:E65)))</f>
        <v>-0.16026204312262116</v>
      </c>
      <c r="I65" s="19">
        <f ca="1"/>
        <v>0.25056107702075758</v>
      </c>
      <c r="J65" s="19">
        <f ca="1"/>
        <v>-0.31779845388355282</v>
      </c>
      <c r="K65" s="20"/>
      <c r="M65" s="21">
        <f t="shared" ca="1" si="4"/>
        <v>1.839737956877379E-2</v>
      </c>
      <c r="N65" s="21">
        <f t="shared" ca="1" si="5"/>
        <v>4.0022443080830306E-2</v>
      </c>
      <c r="O65" s="21">
        <f t="shared" ca="1" si="6"/>
        <v>4.2330231917467077E-2</v>
      </c>
    </row>
    <row r="66" spans="2:15">
      <c r="B66" s="12">
        <v>39</v>
      </c>
      <c r="C66" s="19">
        <f t="shared" ca="1" si="7"/>
        <v>-0.62476180935049674</v>
      </c>
      <c r="D66" s="19">
        <f t="shared" ca="1" si="7"/>
        <v>-0.46277475054589612</v>
      </c>
      <c r="E66" s="19">
        <f t="shared" ca="1" si="7"/>
        <v>-1.2266064513220258</v>
      </c>
      <c r="F66" s="20"/>
      <c r="H66" s="19">
        <f t="array" aca="1" ref="H66:J66" ca="1">TRANSPOSE(MMULT(adjchol,TRANSPOSE(C66:E66)))</f>
        <v>-0.62476180935049674</v>
      </c>
      <c r="I66" s="19">
        <f ca="1"/>
        <v>-0.76400446554062751</v>
      </c>
      <c r="J66" s="19">
        <f ca="1"/>
        <v>-0.78342283916969335</v>
      </c>
      <c r="K66" s="20"/>
      <c r="M66" s="21">
        <f t="shared" ca="1" si="4"/>
        <v>1.3752381906495033E-2</v>
      </c>
      <c r="N66" s="21">
        <f t="shared" ca="1" si="5"/>
        <v>-5.6017862162510354E-4</v>
      </c>
      <c r="O66" s="21">
        <f t="shared" ca="1" si="6"/>
        <v>-2.7513425875453995E-2</v>
      </c>
    </row>
    <row r="67" spans="2:15">
      <c r="B67" s="12">
        <v>40</v>
      </c>
      <c r="C67" s="19">
        <f t="shared" ca="1" si="7"/>
        <v>-0.46475214608036064</v>
      </c>
      <c r="D67" s="19">
        <f t="shared" ca="1" si="7"/>
        <v>-0.67300619012961305</v>
      </c>
      <c r="E67" s="19">
        <f t="shared" ca="1" si="7"/>
        <v>-0.74052017323094033</v>
      </c>
      <c r="F67" s="20"/>
      <c r="H67" s="19">
        <f t="array" aca="1" ref="H67:J67" ca="1">TRANSPOSE(MMULT(adjchol,TRANSPOSE(C67:E67)))</f>
        <v>-0.46475214608036064</v>
      </c>
      <c r="I67" s="19">
        <f ca="1"/>
        <v>-0.71163352858755491</v>
      </c>
      <c r="J67" s="19">
        <f ca="1"/>
        <v>-0.32656855504027532</v>
      </c>
      <c r="K67" s="20"/>
      <c r="M67" s="21">
        <f t="shared" ca="1" si="4"/>
        <v>1.5352478539196395E-2</v>
      </c>
      <c r="N67" s="21">
        <f t="shared" ca="1" si="5"/>
        <v>1.534658856497801E-3</v>
      </c>
      <c r="O67" s="21">
        <f t="shared" ca="1" si="6"/>
        <v>4.10147167439587E-2</v>
      </c>
    </row>
    <row r="68" spans="2:15">
      <c r="B68" s="12">
        <v>41</v>
      </c>
      <c r="C68" s="19">
        <f t="shared" ca="1" si="7"/>
        <v>0.9701303883021839</v>
      </c>
      <c r="D68" s="19">
        <f t="shared" ca="1" si="7"/>
        <v>0.16332053788480203</v>
      </c>
      <c r="E68" s="19">
        <f t="shared" ca="1" si="7"/>
        <v>-0.98420068441278186</v>
      </c>
      <c r="F68" s="20"/>
      <c r="H68" s="19">
        <f t="array" aca="1" ref="H68:J68" ca="1">TRANSPOSE(MMULT(adjchol,TRANSPOSE(C68:E68)))</f>
        <v>0.9701303883021839</v>
      </c>
      <c r="I68" s="19">
        <f ca="1"/>
        <v>0.94430712147642126</v>
      </c>
      <c r="J68" s="19">
        <f ca="1"/>
        <v>0.11929072559206</v>
      </c>
      <c r="K68" s="20"/>
      <c r="M68" s="21">
        <f t="shared" ca="1" si="4"/>
        <v>2.9701303883021841E-2</v>
      </c>
      <c r="N68" s="21">
        <f t="shared" ca="1" si="5"/>
        <v>6.7772284859056842E-2</v>
      </c>
      <c r="O68" s="21">
        <f t="shared" ca="1" si="6"/>
        <v>0.107893608838809</v>
      </c>
    </row>
    <row r="69" spans="2:15">
      <c r="B69" s="12">
        <v>42</v>
      </c>
      <c r="C69" s="19">
        <f t="shared" ca="1" si="7"/>
        <v>-0.36094431015494594</v>
      </c>
      <c r="D69" s="19">
        <f t="shared" ca="1" si="7"/>
        <v>-1.0369894469057888</v>
      </c>
      <c r="E69" s="19">
        <f t="shared" ca="1" si="7"/>
        <v>-1.2731431343667161</v>
      </c>
      <c r="F69" s="20"/>
      <c r="H69" s="19">
        <f t="array" aca="1" ref="H69:J69" ca="1">TRANSPOSE(MMULT(adjchol,TRANSPOSE(C69:E69)))</f>
        <v>-0.36094431015494594</v>
      </c>
      <c r="I69" s="19">
        <f ca="1"/>
        <v>-0.77686309959749833</v>
      </c>
      <c r="J69" s="19">
        <f ca="1"/>
        <v>-0.31815733726553647</v>
      </c>
      <c r="K69" s="20"/>
      <c r="M69" s="21">
        <f t="shared" ca="1" si="4"/>
        <v>1.639055689845054E-2</v>
      </c>
      <c r="N69" s="21">
        <f t="shared" ca="1" si="5"/>
        <v>-1.0745239838999346E-3</v>
      </c>
      <c r="O69" s="21">
        <f t="shared" ca="1" si="6"/>
        <v>4.227639941016953E-2</v>
      </c>
    </row>
    <row r="70" spans="2:15">
      <c r="B70" s="12">
        <v>43</v>
      </c>
      <c r="C70" s="19">
        <f t="shared" ca="1" si="7"/>
        <v>1.1770819779906065</v>
      </c>
      <c r="D70" s="19">
        <f t="shared" ca="1" si="7"/>
        <v>0.73149560687152326</v>
      </c>
      <c r="E70" s="19">
        <f t="shared" ca="1" si="7"/>
        <v>1.3320100172786029</v>
      </c>
      <c r="F70" s="20"/>
      <c r="H70" s="19">
        <f t="array" aca="1" ref="H70:J70" ca="1">TRANSPOSE(MMULT(adjchol,TRANSPOSE(C70:E70)))</f>
        <v>1.1770819779906065</v>
      </c>
      <c r="I70" s="19">
        <f ca="1"/>
        <v>1.3782253229912385</v>
      </c>
      <c r="J70" s="19">
        <f ca="1"/>
        <v>1.0789777240277467</v>
      </c>
      <c r="K70" s="20"/>
      <c r="M70" s="21">
        <f t="shared" ca="1" si="4"/>
        <v>3.1770819779906062E-2</v>
      </c>
      <c r="N70" s="21">
        <f t="shared" ca="1" si="5"/>
        <v>8.5129012919649541E-2</v>
      </c>
      <c r="O70" s="21">
        <f t="shared" ca="1" si="6"/>
        <v>0.251846658604162</v>
      </c>
    </row>
    <row r="71" spans="2:15">
      <c r="B71" s="12">
        <v>44</v>
      </c>
      <c r="C71" s="19">
        <f t="shared" ca="1" si="7"/>
        <v>1.2074146811868474</v>
      </c>
      <c r="D71" s="19">
        <f t="shared" ca="1" si="7"/>
        <v>-0.16730754416482146</v>
      </c>
      <c r="E71" s="19">
        <f t="shared" ca="1" si="7"/>
        <v>-0.24877233455258485</v>
      </c>
      <c r="F71" s="20"/>
      <c r="H71" s="19">
        <f t="array" aca="1" ref="H71:J71" ca="1">TRANSPOSE(MMULT(adjchol,TRANSPOSE(C71:E71)))</f>
        <v>1.2074146811868474</v>
      </c>
      <c r="I71" s="19">
        <f ca="1"/>
        <v>1.0137455453175201</v>
      </c>
      <c r="J71" s="19">
        <f ca="1"/>
        <v>0.81375529714599193</v>
      </c>
      <c r="K71" s="20"/>
      <c r="M71" s="21">
        <f t="shared" ca="1" si="4"/>
        <v>3.2074146811868473E-2</v>
      </c>
      <c r="N71" s="21">
        <f t="shared" ca="1" si="5"/>
        <v>7.0549821812700808E-2</v>
      </c>
      <c r="O71" s="21">
        <f t="shared" ca="1" si="6"/>
        <v>0.21206329457189876</v>
      </c>
    </row>
    <row r="72" spans="2:15">
      <c r="B72" s="12">
        <v>45</v>
      </c>
      <c r="C72" s="19">
        <f t="shared" ca="1" si="7"/>
        <v>0.32736631751120127</v>
      </c>
      <c r="D72" s="19">
        <f t="shared" ca="1" si="7"/>
        <v>0.46553602106183722</v>
      </c>
      <c r="E72" s="19">
        <f t="shared" ca="1" si="7"/>
        <v>0.73159008942865289</v>
      </c>
      <c r="F72" s="20"/>
      <c r="H72" s="19">
        <f t="array" aca="1" ref="H72:J72" ca="1">TRANSPOSE(MMULT(adjchol,TRANSPOSE(C72:E72)))</f>
        <v>0.32736631751120127</v>
      </c>
      <c r="I72" s="19">
        <f ca="1"/>
        <v>0.49755213279873822</v>
      </c>
      <c r="J72" s="19">
        <f ca="1"/>
        <v>0.33557400055427949</v>
      </c>
      <c r="K72" s="20"/>
      <c r="M72" s="21">
        <f t="shared" ca="1" si="4"/>
        <v>2.3273663175112012E-2</v>
      </c>
      <c r="N72" s="21">
        <f t="shared" ca="1" si="5"/>
        <v>4.9902085311949528E-2</v>
      </c>
      <c r="O72" s="21">
        <f t="shared" ca="1" si="6"/>
        <v>0.14033610008314193</v>
      </c>
    </row>
    <row r="73" spans="2:15">
      <c r="B73" s="12">
        <v>46</v>
      </c>
      <c r="C73" s="19">
        <f t="shared" ca="1" si="7"/>
        <v>-0.78300819729479709</v>
      </c>
      <c r="D73" s="19">
        <f t="shared" ca="1" si="7"/>
        <v>0.84089932621006447</v>
      </c>
      <c r="E73" s="19">
        <f t="shared" ca="1" si="7"/>
        <v>-0.2688800679772359</v>
      </c>
      <c r="F73" s="20"/>
      <c r="H73" s="19">
        <f t="array" aca="1" ref="H73:J73" ca="1">TRANSPOSE(MMULT(adjchol,TRANSPOSE(C73:E73)))</f>
        <v>-0.78300819729479709</v>
      </c>
      <c r="I73" s="19">
        <f ca="1"/>
        <v>-0.33816785910120606</v>
      </c>
      <c r="J73" s="19">
        <f ca="1"/>
        <v>-1.1212036858730086</v>
      </c>
      <c r="K73" s="20"/>
      <c r="M73" s="21">
        <f t="shared" ca="1" si="4"/>
        <v>1.2169918027052029E-2</v>
      </c>
      <c r="N73" s="21">
        <f t="shared" ca="1" si="5"/>
        <v>1.6473285635951754E-2</v>
      </c>
      <c r="O73" s="21">
        <f t="shared" ca="1" si="6"/>
        <v>-7.8180552880951271E-2</v>
      </c>
    </row>
    <row r="74" spans="2:15">
      <c r="B74" s="12">
        <v>47</v>
      </c>
      <c r="C74" s="19">
        <f t="shared" ca="1" si="7"/>
        <v>-0.894926454825138</v>
      </c>
      <c r="D74" s="19">
        <f t="shared" ca="1" si="7"/>
        <v>0.87279001079036944</v>
      </c>
      <c r="E74" s="19">
        <f t="shared" ca="1" si="7"/>
        <v>-2.1372927980289753</v>
      </c>
      <c r="F74" s="20"/>
      <c r="H74" s="19">
        <f t="array" aca="1" ref="H74:J74" ca="1">TRANSPOSE(MMULT(adjchol,TRANSPOSE(C74:E74)))</f>
        <v>-0.894926454825138</v>
      </c>
      <c r="I74" s="19">
        <f ca="1"/>
        <v>-0.42499346374592484</v>
      </c>
      <c r="J74" s="19">
        <f ca="1"/>
        <v>-2.1155035077900957</v>
      </c>
      <c r="K74" s="20"/>
      <c r="M74" s="21">
        <f t="shared" ca="1" si="4"/>
        <v>1.105073545174862E-2</v>
      </c>
      <c r="N74" s="21">
        <f t="shared" ca="1" si="5"/>
        <v>1.3000261450163007E-2</v>
      </c>
      <c r="O74" s="21">
        <f t="shared" ca="1" si="6"/>
        <v>-0.22732552616851434</v>
      </c>
    </row>
    <row r="75" spans="2:15">
      <c r="B75" s="12">
        <v>48</v>
      </c>
      <c r="C75" s="19">
        <f t="shared" ca="1" si="7"/>
        <v>1.1917889013282907</v>
      </c>
      <c r="D75" s="19">
        <f t="shared" ca="1" si="7"/>
        <v>-1.1035217899608698</v>
      </c>
      <c r="E75" s="19">
        <f t="shared" ca="1" si="7"/>
        <v>-1.1817018928723348</v>
      </c>
      <c r="F75" s="20"/>
      <c r="H75" s="19">
        <f t="array" aca="1" ref="H75:J75" ca="1">TRANSPOSE(MMULT(adjchol,TRANSPOSE(C75:E75)))</f>
        <v>1.1917889013282907</v>
      </c>
      <c r="I75" s="19">
        <f ca="1"/>
        <v>0.59159601475200696</v>
      </c>
      <c r="J75" s="19">
        <f ca="1"/>
        <v>0.84786606217268923</v>
      </c>
      <c r="K75" s="20"/>
      <c r="M75" s="21">
        <f t="shared" ca="1" si="4"/>
        <v>3.1917889013282907E-2</v>
      </c>
      <c r="N75" s="21">
        <f t="shared" ca="1" si="5"/>
        <v>5.3663840590080281E-2</v>
      </c>
      <c r="O75" s="21">
        <f t="shared" ca="1" si="6"/>
        <v>0.21717990932590336</v>
      </c>
    </row>
    <row r="76" spans="2:15">
      <c r="B76" s="12">
        <v>49</v>
      </c>
      <c r="C76" s="19">
        <f t="shared" ca="1" si="7"/>
        <v>-1.5562653850291805</v>
      </c>
      <c r="D76" s="19">
        <f t="shared" ca="1" si="7"/>
        <v>0.38551227881902272</v>
      </c>
      <c r="E76" s="19">
        <f t="shared" ca="1" si="7"/>
        <v>1.563567202159535</v>
      </c>
      <c r="F76" s="20"/>
      <c r="H76" s="19">
        <f t="array" aca="1" ref="H76:J76" ca="1">TRANSPOSE(MMULT(adjchol,TRANSPOSE(C76:E76)))</f>
        <v>-1.5562653850291805</v>
      </c>
      <c r="I76" s="19">
        <f ca="1"/>
        <v>-1.232597940039643</v>
      </c>
      <c r="J76" s="19">
        <f ca="1"/>
        <v>-0.54037373176037828</v>
      </c>
      <c r="K76" s="20"/>
      <c r="M76" s="21">
        <f t="shared" ca="1" si="4"/>
        <v>4.4373461497081938E-3</v>
      </c>
      <c r="N76" s="21">
        <f t="shared" ca="1" si="5"/>
        <v>-1.9303917601585723E-2</v>
      </c>
      <c r="O76" s="21">
        <f t="shared" ca="1" si="6"/>
        <v>8.9439402359432624E-3</v>
      </c>
    </row>
    <row r="77" spans="2:15">
      <c r="B77" s="12">
        <v>50</v>
      </c>
      <c r="C77" s="19">
        <f t="shared" ca="1" si="7"/>
        <v>-0.99409810547166433</v>
      </c>
      <c r="D77" s="19">
        <f t="shared" ca="1" si="7"/>
        <v>-0.11411467478351268</v>
      </c>
      <c r="E77" s="19">
        <f t="shared" ca="1" si="7"/>
        <v>-1.6803084091584657</v>
      </c>
      <c r="F77" s="20"/>
      <c r="H77" s="19">
        <f t="array" aca="1" ref="H77:J77" ca="1">TRANSPOSE(MMULT(adjchol,TRANSPOSE(C77:E77)))</f>
        <v>-0.99409810547166433</v>
      </c>
      <c r="I77" s="19">
        <f ca="1"/>
        <v>-0.94442972846013196</v>
      </c>
      <c r="J77" s="19">
        <f ca="1"/>
        <v>-1.4442642995631898</v>
      </c>
      <c r="K77" s="20"/>
      <c r="M77" s="21">
        <f t="shared" ca="1" si="4"/>
        <v>1.0059018945283356E-2</v>
      </c>
      <c r="N77" s="21">
        <f t="shared" ca="1" si="5"/>
        <v>-7.7771891384052771E-3</v>
      </c>
      <c r="O77" s="21">
        <f t="shared" ca="1" si="6"/>
        <v>-0.12663964493447846</v>
      </c>
    </row>
    <row r="78" spans="2:15">
      <c r="B78" s="12">
        <v>51</v>
      </c>
      <c r="C78" s="19">
        <f t="shared" ca="1" si="7"/>
        <v>-1.8872886143074432</v>
      </c>
      <c r="D78" s="19">
        <f t="shared" ca="1" si="7"/>
        <v>-2.9420962952800792E-2</v>
      </c>
      <c r="E78" s="19">
        <f t="shared" ca="1" si="7"/>
        <v>-0.25934543537911342</v>
      </c>
      <c r="F78" s="20"/>
      <c r="H78" s="19">
        <f t="array" aca="1" ref="H78:J78" ca="1">TRANSPOSE(MMULT(adjchol,TRANSPOSE(C78:E78)))</f>
        <v>-1.8872886143074432</v>
      </c>
      <c r="I78" s="19">
        <f ca="1"/>
        <v>-1.7113840533099902</v>
      </c>
      <c r="J78" s="19">
        <f ca="1"/>
        <v>-1.4303817738438074</v>
      </c>
      <c r="K78" s="20"/>
      <c r="M78" s="21">
        <f t="shared" ca="1" si="4"/>
        <v>1.1271138569255677E-3</v>
      </c>
      <c r="N78" s="21">
        <f t="shared" ca="1" si="5"/>
        <v>-3.8455362132399612E-2</v>
      </c>
      <c r="O78" s="21">
        <f t="shared" ca="1" si="6"/>
        <v>-0.12455726607657111</v>
      </c>
    </row>
    <row r="79" spans="2:15">
      <c r="B79" s="12">
        <v>52</v>
      </c>
      <c r="C79" s="19">
        <f t="shared" ca="1" si="7"/>
        <v>1.2004673364266394</v>
      </c>
      <c r="D79" s="19">
        <f t="shared" ca="1" si="7"/>
        <v>-0.61069490402083104</v>
      </c>
      <c r="E79" s="19">
        <f t="shared" ca="1" si="7"/>
        <v>-1.9043509945223597E-2</v>
      </c>
      <c r="F79" s="20"/>
      <c r="H79" s="19">
        <f t="array" aca="1" ref="H79:J79" ca="1">TRANSPOSE(MMULT(adjchol,TRANSPOSE(C79:E79)))</f>
        <v>1.2004673364266394</v>
      </c>
      <c r="I79" s="19">
        <f ca="1"/>
        <v>0.81422486558776819</v>
      </c>
      <c r="J79" s="19">
        <f ca="1"/>
        <v>1.1533998388263114</v>
      </c>
      <c r="K79" s="20"/>
      <c r="M79" s="21">
        <f t="shared" ca="1" si="4"/>
        <v>3.2004673364266392E-2</v>
      </c>
      <c r="N79" s="21">
        <f t="shared" ca="1" si="5"/>
        <v>6.2568994623510732E-2</v>
      </c>
      <c r="O79" s="21">
        <f t="shared" ca="1" si="6"/>
        <v>0.2630099758239467</v>
      </c>
    </row>
    <row r="80" spans="2:15">
      <c r="B80" s="12">
        <v>53</v>
      </c>
      <c r="C80" s="19">
        <f t="shared" ca="1" si="7"/>
        <v>0.36915467428908044</v>
      </c>
      <c r="D80" s="19">
        <f t="shared" ca="1" si="7"/>
        <v>2.077229386334503</v>
      </c>
      <c r="E80" s="19">
        <f t="shared" ca="1" si="7"/>
        <v>1.1233993979439634</v>
      </c>
      <c r="F80" s="20"/>
      <c r="H80" s="19">
        <f t="array" aca="1" ref="H80:J80" ca="1">TRANSPOSE(MMULT(adjchol,TRANSPOSE(C80:E80)))</f>
        <v>0.36915467428908044</v>
      </c>
      <c r="I80" s="19">
        <f ca="1"/>
        <v>1.2376825046186828</v>
      </c>
      <c r="J80" s="19">
        <f ca="1"/>
        <v>-0.29704510343593116</v>
      </c>
      <c r="K80" s="20"/>
      <c r="M80" s="21">
        <f t="shared" ca="1" si="4"/>
        <v>2.3691546742890805E-2</v>
      </c>
      <c r="N80" s="21">
        <f t="shared" ca="1" si="5"/>
        <v>7.9507300184747304E-2</v>
      </c>
      <c r="O80" s="21">
        <f t="shared" ca="1" si="6"/>
        <v>4.5443234484610323E-2</v>
      </c>
    </row>
    <row r="81" spans="2:15">
      <c r="B81" s="12">
        <v>54</v>
      </c>
      <c r="C81" s="19">
        <f t="shared" ca="1" si="7"/>
        <v>-0.34502336561889529</v>
      </c>
      <c r="D81" s="19">
        <f t="shared" ca="1" si="7"/>
        <v>-1.3112426784341196</v>
      </c>
      <c r="E81" s="19">
        <f t="shared" ca="1" si="7"/>
        <v>-8.8813819653645237E-2</v>
      </c>
      <c r="F81" s="20"/>
      <c r="H81" s="19">
        <f t="array" aca="1" ref="H81:J81" ca="1">TRANSPOSE(MMULT(adjchol,TRANSPOSE(C81:E81)))</f>
        <v>-0.34502336561889529</v>
      </c>
      <c r="I81" s="19">
        <f ca="1"/>
        <v>-0.88207846163219839</v>
      </c>
      <c r="J81" s="19">
        <f ca="1"/>
        <v>0.4076293933176145</v>
      </c>
      <c r="K81" s="20"/>
      <c r="M81" s="21">
        <f t="shared" ca="1" si="4"/>
        <v>1.6549766343811046E-2</v>
      </c>
      <c r="N81" s="21">
        <f t="shared" ca="1" si="5"/>
        <v>-5.2831384652879398E-3</v>
      </c>
      <c r="O81" s="21">
        <f t="shared" ca="1" si="6"/>
        <v>0.15114440899764217</v>
      </c>
    </row>
    <row r="82" spans="2:15">
      <c r="B82" s="12">
        <v>55</v>
      </c>
      <c r="C82" s="19">
        <f t="shared" ca="1" si="7"/>
        <v>0.98489479618639308</v>
      </c>
      <c r="D82" s="19">
        <f t="shared" ca="1" si="7"/>
        <v>-0.50405408096772197</v>
      </c>
      <c r="E82" s="19">
        <f t="shared" ca="1" si="7"/>
        <v>-0.45614598258974609</v>
      </c>
      <c r="F82" s="20"/>
      <c r="H82" s="19">
        <f t="array" aca="1" ref="H82:J82" ca="1">TRANSPOSE(MMULT(adjchol,TRANSPOSE(C82:E82)))</f>
        <v>0.98489479618639308</v>
      </c>
      <c r="I82" s="19">
        <f ca="1"/>
        <v>0.66669323646599699</v>
      </c>
      <c r="J82" s="19">
        <f ca="1"/>
        <v>0.73588407604658757</v>
      </c>
      <c r="K82" s="20"/>
      <c r="M82" s="21">
        <f t="shared" ca="1" si="4"/>
        <v>2.9848947961863929E-2</v>
      </c>
      <c r="N82" s="21">
        <f t="shared" ca="1" si="5"/>
        <v>5.6667729458639876E-2</v>
      </c>
      <c r="O82" s="21">
        <f t="shared" ca="1" si="6"/>
        <v>0.20038261140698813</v>
      </c>
    </row>
    <row r="83" spans="2:15">
      <c r="B83" s="12">
        <v>56</v>
      </c>
      <c r="C83" s="19">
        <f t="shared" ca="1" si="7"/>
        <v>6.2648236202397414E-2</v>
      </c>
      <c r="D83" s="19">
        <f t="shared" ca="1" si="7"/>
        <v>-0.86227214528137763</v>
      </c>
      <c r="E83" s="19">
        <f t="shared" ca="1" si="7"/>
        <v>0.63776670549679437</v>
      </c>
      <c r="F83" s="20"/>
      <c r="H83" s="19">
        <f t="array" aca="1" ref="H83:J83" ca="1">TRANSPOSE(MMULT(adjchol,TRANSPOSE(C83:E83)))</f>
        <v>6.2648236202397414E-2</v>
      </c>
      <c r="I83" s="19">
        <f ca="1"/>
        <v>-0.31947230172899699</v>
      </c>
      <c r="J83" s="19">
        <f ca="1"/>
        <v>0.80574723998972364</v>
      </c>
      <c r="K83" s="20"/>
      <c r="M83" s="21">
        <f t="shared" ca="1" si="4"/>
        <v>2.0626482362023975E-2</v>
      </c>
      <c r="N83" s="21">
        <f t="shared" ca="1" si="5"/>
        <v>1.722110793084012E-2</v>
      </c>
      <c r="O83" s="21">
        <f t="shared" ca="1" si="6"/>
        <v>0.21086208599845854</v>
      </c>
    </row>
    <row r="84" spans="2:15">
      <c r="B84" s="12">
        <v>57</v>
      </c>
      <c r="C84" s="19">
        <f t="shared" ca="1" si="7"/>
        <v>-0.68847470672677191</v>
      </c>
      <c r="D84" s="19">
        <f t="shared" ca="1" si="7"/>
        <v>-0.2293842056718387</v>
      </c>
      <c r="E84" s="19">
        <f t="shared" ca="1" si="7"/>
        <v>-0.70382841934015439</v>
      </c>
      <c r="F84" s="20"/>
      <c r="H84" s="19">
        <f t="array" aca="1" ref="H84:J84" ca="1">TRANSPOSE(MMULT(adjchol,TRANSPOSE(C84:E84)))</f>
        <v>-0.68847470672677191</v>
      </c>
      <c r="I84" s="19">
        <f ca="1"/>
        <v>-0.71961349323088419</v>
      </c>
      <c r="J84" s="19">
        <f ca="1"/>
        <v>-0.69959718826078565</v>
      </c>
      <c r="K84" s="20"/>
      <c r="M84" s="21">
        <f t="shared" ca="1" si="4"/>
        <v>1.3115252932732281E-2</v>
      </c>
      <c r="N84" s="21">
        <f t="shared" ca="1" si="5"/>
        <v>1.215460270764631E-3</v>
      </c>
      <c r="O84" s="21">
        <f t="shared" ca="1" si="6"/>
        <v>-1.4939578239117846E-2</v>
      </c>
    </row>
    <row r="85" spans="2:15">
      <c r="B85" s="12">
        <v>58</v>
      </c>
      <c r="C85" s="19">
        <f t="shared" ca="1" si="7"/>
        <v>0.95311526362538601</v>
      </c>
      <c r="D85" s="19">
        <f t="shared" ca="1" si="7"/>
        <v>-4.3370790521805036E-2</v>
      </c>
      <c r="E85" s="19">
        <f t="shared" ca="1" si="7"/>
        <v>0.60392054634445991</v>
      </c>
      <c r="F85" s="20"/>
      <c r="H85" s="19">
        <f t="array" aca="1" ref="H85:J85" ca="1">TRANSPOSE(MMULT(adjchol,TRANSPOSE(C85:E85)))</f>
        <v>0.95311526362538601</v>
      </c>
      <c r="I85" s="19">
        <f ca="1"/>
        <v>0.83889884796424541</v>
      </c>
      <c r="J85" s="19">
        <f ca="1"/>
        <v>0.98068812325020982</v>
      </c>
      <c r="K85" s="20"/>
      <c r="M85" s="21">
        <f t="shared" ca="1" si="4"/>
        <v>2.953115263625386E-2</v>
      </c>
      <c r="N85" s="21">
        <f t="shared" ca="1" si="5"/>
        <v>6.3555953918569816E-2</v>
      </c>
      <c r="O85" s="21">
        <f t="shared" ca="1" si="6"/>
        <v>0.23710321848753146</v>
      </c>
    </row>
    <row r="86" spans="2:15">
      <c r="B86" s="12">
        <v>59</v>
      </c>
      <c r="C86" s="19">
        <f t="shared" ca="1" si="7"/>
        <v>2.1086988957864667</v>
      </c>
      <c r="D86" s="19">
        <f t="shared" ca="1" si="7"/>
        <v>-0.31077631676272394</v>
      </c>
      <c r="E86" s="19">
        <f t="shared" ca="1" si="7"/>
        <v>-0.36242959740017355</v>
      </c>
      <c r="F86" s="20"/>
      <c r="H86" s="19">
        <f t="array" aca="1" ref="H86:J86" ca="1">TRANSPOSE(MMULT(adjchol,TRANSPOSE(C86:E86)))</f>
        <v>2.1086988957864667</v>
      </c>
      <c r="I86" s="19">
        <f ca="1"/>
        <v>1.7623647503263702</v>
      </c>
      <c r="J86" s="19">
        <f ca="1"/>
        <v>1.4656615458359423</v>
      </c>
      <c r="K86" s="20"/>
      <c r="M86" s="21">
        <f t="shared" ca="1" si="4"/>
        <v>4.1086988957864667E-2</v>
      </c>
      <c r="N86" s="21">
        <f t="shared" ca="1" si="5"/>
        <v>0.1004945900130548</v>
      </c>
      <c r="O86" s="21">
        <f t="shared" ca="1" si="6"/>
        <v>0.30984923187539137</v>
      </c>
    </row>
    <row r="87" spans="2:15">
      <c r="B87" s="12">
        <v>60</v>
      </c>
      <c r="C87" s="19">
        <f t="shared" ca="1" si="7"/>
        <v>0.40223691153177765</v>
      </c>
      <c r="D87" s="19">
        <f t="shared" ca="1" si="7"/>
        <v>1.0612543988596004</v>
      </c>
      <c r="E87" s="19">
        <f t="shared" ca="1" si="7"/>
        <v>1.3064981886216755</v>
      </c>
      <c r="F87" s="20"/>
      <c r="H87" s="19">
        <f t="array" aca="1" ref="H87:J87" ca="1">TRANSPOSE(MMULT(adjchol,TRANSPOSE(C87:E87)))</f>
        <v>0.40223691153177765</v>
      </c>
      <c r="I87" s="19">
        <f ca="1"/>
        <v>0.82460328818030026</v>
      </c>
      <c r="J87" s="19">
        <f ca="1"/>
        <v>0.35030994230442453</v>
      </c>
      <c r="K87" s="20"/>
      <c r="M87" s="21">
        <f t="shared" ca="1" si="4"/>
        <v>2.4022369115317778E-2</v>
      </c>
      <c r="N87" s="21">
        <f t="shared" ca="1" si="5"/>
        <v>6.2984131527212009E-2</v>
      </c>
      <c r="O87" s="21">
        <f t="shared" ca="1" si="6"/>
        <v>0.14254649134566366</v>
      </c>
    </row>
    <row r="88" spans="2:15">
      <c r="B88" s="12">
        <v>61</v>
      </c>
      <c r="C88" s="19">
        <f t="shared" ca="1" si="7"/>
        <v>-1.40517309661866</v>
      </c>
      <c r="D88" s="19">
        <f t="shared" ca="1" si="7"/>
        <v>-1.4585326056267329</v>
      </c>
      <c r="E88" s="19">
        <f t="shared" ca="1" si="7"/>
        <v>0.61521918917080676</v>
      </c>
      <c r="F88" s="20"/>
      <c r="H88" s="19">
        <f t="array" aca="1" ref="H88:J88" ca="1">TRANSPOSE(MMULT(adjchol,TRANSPOSE(C88:E88)))</f>
        <v>-1.40517309661866</v>
      </c>
      <c r="I88" s="19">
        <f ca="1"/>
        <v>-1.900415410335393</v>
      </c>
      <c r="J88" s="19">
        <f ca="1"/>
        <v>8.2042366080599671E-2</v>
      </c>
      <c r="K88" s="20"/>
      <c r="M88" s="21">
        <f t="shared" ca="1" si="4"/>
        <v>5.9482690338134008E-3</v>
      </c>
      <c r="N88" s="21">
        <f t="shared" ca="1" si="5"/>
        <v>-4.6016616413415715E-2</v>
      </c>
      <c r="O88" s="21">
        <f t="shared" ca="1" si="6"/>
        <v>0.10230635491208995</v>
      </c>
    </row>
    <row r="89" spans="2:15">
      <c r="B89" s="12">
        <v>62</v>
      </c>
      <c r="C89" s="19">
        <f t="shared" ca="1" si="7"/>
        <v>1.4004484705375584</v>
      </c>
      <c r="D89" s="19">
        <f t="shared" ca="1" si="7"/>
        <v>1.0772576849091893</v>
      </c>
      <c r="E89" s="19">
        <f t="shared" ca="1" si="7"/>
        <v>-5.8294996780478239E-2</v>
      </c>
      <c r="F89" s="20"/>
      <c r="H89" s="19">
        <f t="array" aca="1" ref="H89:J89" ca="1">TRANSPOSE(MMULT(adjchol,TRANSPOSE(C89:E89)))</f>
        <v>1.4004484705375584</v>
      </c>
      <c r="I89" s="19">
        <f ca="1"/>
        <v>1.7299693619509762</v>
      </c>
      <c r="J89" s="19">
        <f ca="1"/>
        <v>0.38383914851476358</v>
      </c>
      <c r="K89" s="20"/>
      <c r="M89" s="21">
        <f t="shared" ca="1" si="4"/>
        <v>3.4004484705375586E-2</v>
      </c>
      <c r="N89" s="21">
        <f t="shared" ca="1" si="5"/>
        <v>9.9198774478039042E-2</v>
      </c>
      <c r="O89" s="21">
        <f t="shared" ca="1" si="6"/>
        <v>0.14757587227721453</v>
      </c>
    </row>
    <row r="90" spans="2:15">
      <c r="B90" s="12">
        <v>63</v>
      </c>
      <c r="C90" s="19">
        <f t="shared" ca="1" si="7"/>
        <v>-1.654297552184306</v>
      </c>
      <c r="D90" s="19">
        <f t="shared" ca="1" si="7"/>
        <v>-1.0141787143550975</v>
      </c>
      <c r="E90" s="19">
        <f t="shared" ca="1" si="7"/>
        <v>0.44367841222067916</v>
      </c>
      <c r="F90" s="20"/>
      <c r="H90" s="19">
        <f t="array" aca="1" ref="H90:J90" ca="1">TRANSPOSE(MMULT(adjchol,TRANSPOSE(C90:E90)))</f>
        <v>-1.654297552184306</v>
      </c>
      <c r="I90" s="19">
        <f ca="1"/>
        <v>-1.9309380496222626</v>
      </c>
      <c r="J90" s="19">
        <f ca="1"/>
        <v>-0.40936080140877618</v>
      </c>
      <c r="K90" s="20"/>
      <c r="M90" s="21">
        <f t="shared" ca="1" si="4"/>
        <v>3.4570244781569406E-3</v>
      </c>
      <c r="N90" s="21">
        <f t="shared" ca="1" si="5"/>
        <v>-4.7237521984890507E-2</v>
      </c>
      <c r="O90" s="21">
        <f t="shared" ca="1" si="6"/>
        <v>2.8595879788683574E-2</v>
      </c>
    </row>
    <row r="91" spans="2:15">
      <c r="B91" s="12">
        <v>64</v>
      </c>
      <c r="C91" s="19">
        <f t="shared" ca="1" si="7"/>
        <v>0.51329784349438068</v>
      </c>
      <c r="D91" s="19">
        <f t="shared" ca="1" si="7"/>
        <v>-0.51513612352194615</v>
      </c>
      <c r="E91" s="19">
        <f t="shared" ca="1" si="7"/>
        <v>-0.99358966705704477</v>
      </c>
      <c r="F91" s="20"/>
      <c r="H91" s="19">
        <f t="array" aca="1" ref="H91:J91" ca="1">TRANSPOSE(MMULT(adjchol,TRANSPOSE(C91:E91)))</f>
        <v>0.51329784349438068</v>
      </c>
      <c r="I91" s="19">
        <f ca="1"/>
        <v>0.23742542868499775</v>
      </c>
      <c r="J91" s="19">
        <f ca="1"/>
        <v>0.15298157255502759</v>
      </c>
      <c r="K91" s="20"/>
      <c r="M91" s="21">
        <f t="shared" ca="1" si="4"/>
        <v>2.5132978434943807E-2</v>
      </c>
      <c r="N91" s="21">
        <f t="shared" ca="1" si="5"/>
        <v>3.9497017147399907E-2</v>
      </c>
      <c r="O91" s="21">
        <f t="shared" ca="1" si="6"/>
        <v>0.11294723588325413</v>
      </c>
    </row>
    <row r="92" spans="2:15">
      <c r="B92" s="12">
        <v>65</v>
      </c>
      <c r="C92" s="19">
        <f t="shared" ca="1" si="7"/>
        <v>-0.74488185452053113</v>
      </c>
      <c r="D92" s="19">
        <f t="shared" ca="1" si="7"/>
        <v>-2.3396757622510894E-2</v>
      </c>
      <c r="E92" s="19">
        <f t="shared" ca="1" si="7"/>
        <v>1.4314241327371922</v>
      </c>
      <c r="F92" s="20"/>
      <c r="H92" s="19">
        <f t="array" aca="1" ref="H92:J92" ca="1">TRANSPOSE(MMULT(adjchol,TRANSPOSE(C92:E92)))</f>
        <v>-0.74488185452053113</v>
      </c>
      <c r="I92" s="19">
        <f ca="1"/>
        <v>-0.68059207927678211</v>
      </c>
      <c r="J92" s="19">
        <f ca="1"/>
        <v>0.17976737574486445</v>
      </c>
      <c r="K92" s="20"/>
      <c r="M92" s="21">
        <f t="shared" ref="M92:M127" ca="1" si="8">C$3+H92*C$4</f>
        <v>1.255118145479469E-2</v>
      </c>
      <c r="N92" s="21">
        <f t="shared" ref="N92:N127" ca="1" si="9">D$3+I92*D$4</f>
        <v>2.7763168289287148E-3</v>
      </c>
      <c r="O92" s="21">
        <f t="shared" ref="O92:O127" ca="1" si="10">E$3+J92*E$4</f>
        <v>0.11696510636172966</v>
      </c>
    </row>
    <row r="93" spans="2:15">
      <c r="B93" s="12">
        <v>66</v>
      </c>
      <c r="C93" s="19">
        <f t="shared" ref="C93:E127" ca="1" si="11">NORMSINV(RAND())</f>
        <v>-0.94051884456896195</v>
      </c>
      <c r="D93" s="19">
        <f t="shared" ca="1" si="11"/>
        <v>-0.80489463767285441</v>
      </c>
      <c r="E93" s="19">
        <f t="shared" ca="1" si="11"/>
        <v>-1.3048036174088906</v>
      </c>
      <c r="F93" s="20"/>
      <c r="H93" s="19">
        <f t="array" aca="1" ref="H93:J93" ca="1">TRANSPOSE(MMULT(adjchol,TRANSPOSE(C93:E93)))</f>
        <v>-0.94051884456896195</v>
      </c>
      <c r="I93" s="19">
        <f ca="1"/>
        <v>-1.1973123986934415</v>
      </c>
      <c r="J93" s="19">
        <f ca="1"/>
        <v>-0.86156163717066603</v>
      </c>
      <c r="K93" s="20"/>
      <c r="M93" s="21">
        <f t="shared" ca="1" si="8"/>
        <v>1.0594811554310381E-2</v>
      </c>
      <c r="N93" s="21">
        <f t="shared" ca="1" si="9"/>
        <v>-1.789249594773766E-2</v>
      </c>
      <c r="O93" s="21">
        <f t="shared" ca="1" si="10"/>
        <v>-3.9234245575599902E-2</v>
      </c>
    </row>
    <row r="94" spans="2:15">
      <c r="B94" s="12">
        <v>67</v>
      </c>
      <c r="C94" s="19">
        <f t="shared" ca="1" si="11"/>
        <v>-1.3605940322544494</v>
      </c>
      <c r="D94" s="19">
        <f t="shared" ca="1" si="11"/>
        <v>-0.44228046908565782</v>
      </c>
      <c r="E94" s="19">
        <f t="shared" ca="1" si="11"/>
        <v>1.1568200506865423</v>
      </c>
      <c r="F94" s="20"/>
      <c r="H94" s="19">
        <f t="array" aca="1" ref="H94:J94" ca="1">TRANSPOSE(MMULT(adjchol,TRANSPOSE(C94:E94)))</f>
        <v>-1.3605940322544494</v>
      </c>
      <c r="I94" s="19">
        <f ca="1"/>
        <v>-1.4173202159736191</v>
      </c>
      <c r="J94" s="19">
        <f ca="1"/>
        <v>-0.16235132846964828</v>
      </c>
      <c r="K94" s="20"/>
      <c r="M94" s="21">
        <f t="shared" ca="1" si="8"/>
        <v>6.3940596774555054E-3</v>
      </c>
      <c r="N94" s="21">
        <f t="shared" ca="1" si="9"/>
        <v>-2.6692808638944771E-2</v>
      </c>
      <c r="O94" s="21">
        <f t="shared" ca="1" si="10"/>
        <v>6.5647300729552757E-2</v>
      </c>
    </row>
    <row r="95" spans="2:15">
      <c r="B95" s="12">
        <v>68</v>
      </c>
      <c r="C95" s="19">
        <f t="shared" ca="1" si="11"/>
        <v>1.3155489003585705</v>
      </c>
      <c r="D95" s="19">
        <f t="shared" ca="1" si="11"/>
        <v>-0.8356277935330928</v>
      </c>
      <c r="E95" s="19">
        <f t="shared" ca="1" si="11"/>
        <v>-1.6843255346171142</v>
      </c>
      <c r="F95" s="20"/>
      <c r="H95" s="19">
        <f t="array" aca="1" ref="H95:J95" ca="1">TRANSPOSE(MMULT(adjchol,TRANSPOSE(C95:E95)))</f>
        <v>1.3155489003585705</v>
      </c>
      <c r="I95" s="19">
        <f ca="1"/>
        <v>0.81975229968025143</v>
      </c>
      <c r="J95" s="19">
        <f ca="1"/>
        <v>0.55126631904154755</v>
      </c>
      <c r="K95" s="20"/>
      <c r="M95" s="21">
        <f t="shared" ca="1" si="8"/>
        <v>3.3155489003585704E-2</v>
      </c>
      <c r="N95" s="21">
        <f t="shared" ca="1" si="9"/>
        <v>6.2790091987210056E-2</v>
      </c>
      <c r="O95" s="21">
        <f t="shared" ca="1" si="10"/>
        <v>0.17268994785623212</v>
      </c>
    </row>
    <row r="96" spans="2:15">
      <c r="B96" s="12">
        <v>69</v>
      </c>
      <c r="C96" s="19">
        <f t="shared" ca="1" si="11"/>
        <v>0.90602220115837717</v>
      </c>
      <c r="D96" s="19">
        <f t="shared" ca="1" si="11"/>
        <v>0.71981812774428799</v>
      </c>
      <c r="E96" s="19">
        <f t="shared" ca="1" si="11"/>
        <v>1.8105192161492227</v>
      </c>
      <c r="F96" s="20"/>
      <c r="H96" s="19">
        <f t="array" aca="1" ref="H96:J96" ca="1">TRANSPOSE(MMULT(adjchol,TRANSPOSE(C96:E96)))</f>
        <v>0.90602220115837717</v>
      </c>
      <c r="I96" s="19">
        <f ca="1"/>
        <v>1.1291814286991397</v>
      </c>
      <c r="J96" s="19">
        <f ca="1"/>
        <v>1.1256688828805128</v>
      </c>
      <c r="K96" s="20"/>
      <c r="M96" s="21">
        <f t="shared" ca="1" si="8"/>
        <v>2.9060222011583772E-2</v>
      </c>
      <c r="N96" s="21">
        <f t="shared" ca="1" si="9"/>
        <v>7.5167257147965599E-2</v>
      </c>
      <c r="O96" s="21">
        <f t="shared" ca="1" si="10"/>
        <v>0.25885033243207689</v>
      </c>
    </row>
    <row r="97" spans="2:15">
      <c r="B97" s="12">
        <v>70</v>
      </c>
      <c r="C97" s="19">
        <f t="shared" ca="1" si="11"/>
        <v>-1.2663022996649087</v>
      </c>
      <c r="D97" s="19">
        <f t="shared" ca="1" si="11"/>
        <v>-0.12676735674981904</v>
      </c>
      <c r="E97" s="19">
        <f t="shared" ca="1" si="11"/>
        <v>-0.6946500829158635</v>
      </c>
      <c r="F97" s="20"/>
      <c r="H97" s="19">
        <f t="array" aca="1" ref="H97:J97" ca="1">TRANSPOSE(MMULT(adjchol,TRANSPOSE(C97:E97)))</f>
        <v>-1.2663022996649087</v>
      </c>
      <c r="I97" s="19">
        <f ca="1"/>
        <v>-1.194928679439641</v>
      </c>
      <c r="J97" s="19">
        <f ca="1"/>
        <v>-1.1538060598916955</v>
      </c>
      <c r="K97" s="20"/>
      <c r="M97" s="21">
        <f t="shared" ca="1" si="8"/>
        <v>7.336977003350913E-3</v>
      </c>
      <c r="N97" s="21">
        <f t="shared" ca="1" si="9"/>
        <v>-1.779714717758564E-2</v>
      </c>
      <c r="O97" s="21">
        <f t="shared" ca="1" si="10"/>
        <v>-8.3070908983754327E-2</v>
      </c>
    </row>
    <row r="98" spans="2:15">
      <c r="B98" s="12">
        <v>71</v>
      </c>
      <c r="C98" s="19">
        <f t="shared" ca="1" si="11"/>
        <v>-0.11310226325396824</v>
      </c>
      <c r="D98" s="19">
        <f t="shared" ca="1" si="11"/>
        <v>1.3831174459274638</v>
      </c>
      <c r="E98" s="19">
        <f t="shared" ca="1" si="11"/>
        <v>-1.6907853182623014</v>
      </c>
      <c r="F98" s="20"/>
      <c r="H98" s="19">
        <f t="array" aca="1" ref="H98:J98" ca="1">TRANSPOSE(MMULT(adjchol,TRANSPOSE(C98:E98)))</f>
        <v>-0.11310226325396824</v>
      </c>
      <c r="I98" s="19">
        <f ca="1"/>
        <v>0.50109488045601813</v>
      </c>
      <c r="J98" s="19">
        <f ca="1"/>
        <v>-1.6226327695622547</v>
      </c>
      <c r="K98" s="20"/>
      <c r="M98" s="21">
        <f t="shared" ca="1" si="8"/>
        <v>1.8868977367460318E-2</v>
      </c>
      <c r="N98" s="21">
        <f t="shared" ca="1" si="9"/>
        <v>5.0043795218240726E-2</v>
      </c>
      <c r="O98" s="21">
        <f t="shared" ca="1" si="10"/>
        <v>-0.1533949154343382</v>
      </c>
    </row>
    <row r="99" spans="2:15">
      <c r="B99" s="12">
        <v>72</v>
      </c>
      <c r="C99" s="19">
        <f t="shared" ca="1" si="11"/>
        <v>-0.51217991232746918</v>
      </c>
      <c r="D99" s="19">
        <f t="shared" ca="1" si="11"/>
        <v>0.20098529139099786</v>
      </c>
      <c r="E99" s="19">
        <f t="shared" ca="1" si="11"/>
        <v>-0.98849346410849914</v>
      </c>
      <c r="F99" s="20"/>
      <c r="H99" s="19">
        <f t="array" aca="1" ref="H99:J99" ca="1">TRANSPOSE(MMULT(adjchol,TRANSPOSE(C99:E99)))</f>
        <v>-0.51217991232746918</v>
      </c>
      <c r="I99" s="19">
        <f ca="1"/>
        <v>-0.37335446366357883</v>
      </c>
      <c r="J99" s="19">
        <f ca="1"/>
        <v>-0.94026632446397307</v>
      </c>
      <c r="K99" s="20"/>
      <c r="M99" s="21">
        <f t="shared" ca="1" si="8"/>
        <v>1.4878200876725308E-2</v>
      </c>
      <c r="N99" s="21">
        <f t="shared" ca="1" si="9"/>
        <v>1.5065821453456845E-2</v>
      </c>
      <c r="O99" s="21">
        <f t="shared" ca="1" si="10"/>
        <v>-5.1039948669595964E-2</v>
      </c>
    </row>
    <row r="100" spans="2:15">
      <c r="B100" s="12">
        <v>73</v>
      </c>
      <c r="C100" s="19">
        <f t="shared" ca="1" si="11"/>
        <v>-9.5121302540300226E-2</v>
      </c>
      <c r="D100" s="19">
        <f t="shared" ca="1" si="11"/>
        <v>6.3780693185876175E-2</v>
      </c>
      <c r="E100" s="19">
        <f t="shared" ca="1" si="11"/>
        <v>2.2927288355823099</v>
      </c>
      <c r="F100" s="20"/>
      <c r="H100" s="19">
        <f t="array" aca="1" ref="H100:J100" ca="1">TRANSPOSE(MMULT(adjchol,TRANSPOSE(C100:E100)))</f>
        <v>-9.5121302540300226E-2</v>
      </c>
      <c r="I100" s="19">
        <f ca="1"/>
        <v>-5.7807812671649458E-2</v>
      </c>
      <c r="J100" s="19">
        <f ca="1"/>
        <v>1.0030826910940633</v>
      </c>
      <c r="K100" s="20"/>
      <c r="M100" s="21">
        <f t="shared" ca="1" si="8"/>
        <v>1.9048786974596998E-2</v>
      </c>
      <c r="N100" s="21">
        <f t="shared" ca="1" si="9"/>
        <v>2.7687687493134022E-2</v>
      </c>
      <c r="O100" s="21">
        <f t="shared" ca="1" si="10"/>
        <v>0.24046240366410948</v>
      </c>
    </row>
    <row r="101" spans="2:15">
      <c r="B101" s="12">
        <v>74</v>
      </c>
      <c r="C101" s="19">
        <f t="shared" ca="1" si="11"/>
        <v>1.1846140941389609</v>
      </c>
      <c r="D101" s="19">
        <f t="shared" ca="1" si="11"/>
        <v>1.6557998301462618</v>
      </c>
      <c r="E101" s="19">
        <f t="shared" ca="1" si="11"/>
        <v>1.3146421685518912</v>
      </c>
      <c r="F101" s="20"/>
      <c r="H101" s="19">
        <f t="array" aca="1" ref="H101:J101" ca="1">TRANSPOSE(MMULT(adjchol,TRANSPOSE(C101:E101)))</f>
        <v>1.1846140941389609</v>
      </c>
      <c r="I101" s="19">
        <f ca="1"/>
        <v>1.7878990977590015</v>
      </c>
      <c r="J101" s="19">
        <f ca="1"/>
        <v>0.58817749330584213</v>
      </c>
      <c r="K101" s="20"/>
      <c r="M101" s="21">
        <f t="shared" ca="1" si="8"/>
        <v>3.1846140941389614E-2</v>
      </c>
      <c r="N101" s="21">
        <f t="shared" ca="1" si="9"/>
        <v>0.10151596391036007</v>
      </c>
      <c r="O101" s="21">
        <f t="shared" ca="1" si="10"/>
        <v>0.1782266239958763</v>
      </c>
    </row>
    <row r="102" spans="2:15">
      <c r="B102" s="12">
        <v>75</v>
      </c>
      <c r="C102" s="19">
        <f t="shared" ca="1" si="11"/>
        <v>-1.4432515018012488</v>
      </c>
      <c r="D102" s="19">
        <f t="shared" ca="1" si="11"/>
        <v>0.25441687997225904</v>
      </c>
      <c r="E102" s="19">
        <f t="shared" ca="1" si="11"/>
        <v>-1.1714453610922206</v>
      </c>
      <c r="F102" s="20"/>
      <c r="H102" s="19">
        <f t="array" aca="1" ref="H102:J102" ca="1">TRANSPOSE(MMULT(adjchol,TRANSPOSE(C102:E102)))</f>
        <v>-1.4432515018012488</v>
      </c>
      <c r="I102" s="19">
        <f ca="1"/>
        <v>-1.1880286046881245</v>
      </c>
      <c r="J102" s="19">
        <f ca="1"/>
        <v>-1.7082512470766535</v>
      </c>
      <c r="K102" s="20"/>
      <c r="M102" s="21">
        <f t="shared" ca="1" si="8"/>
        <v>5.5674849819875114E-3</v>
      </c>
      <c r="N102" s="21">
        <f t="shared" ca="1" si="9"/>
        <v>-1.7521144187524984E-2</v>
      </c>
      <c r="O102" s="21">
        <f t="shared" ca="1" si="10"/>
        <v>-0.16623768706149802</v>
      </c>
    </row>
    <row r="103" spans="2:15">
      <c r="B103" s="12">
        <v>76</v>
      </c>
      <c r="C103" s="19">
        <f t="shared" ca="1" si="11"/>
        <v>-1.7996093744565991</v>
      </c>
      <c r="D103" s="19">
        <f t="shared" ca="1" si="11"/>
        <v>-0.52847315293374053</v>
      </c>
      <c r="E103" s="19">
        <f t="shared" ca="1" si="11"/>
        <v>8.1479321380985459E-2</v>
      </c>
      <c r="F103" s="20"/>
      <c r="H103" s="19">
        <f t="array" aca="1" ref="H103:J103" ca="1">TRANSPOSE(MMULT(adjchol,TRANSPOSE(C103:E103)))</f>
        <v>-1.7996093744565991</v>
      </c>
      <c r="I103" s="19">
        <f ca="1"/>
        <v>-1.8500045438121882</v>
      </c>
      <c r="J103" s="19">
        <f ca="1"/>
        <v>-0.94166442392377447</v>
      </c>
      <c r="K103" s="20"/>
      <c r="M103" s="21">
        <f t="shared" ca="1" si="8"/>
        <v>2.0039062554340105E-3</v>
      </c>
      <c r="N103" s="21">
        <f t="shared" ca="1" si="9"/>
        <v>-4.400018175248753E-2</v>
      </c>
      <c r="O103" s="21">
        <f t="shared" ca="1" si="10"/>
        <v>-5.1249663588566169E-2</v>
      </c>
    </row>
    <row r="104" spans="2:15">
      <c r="B104" s="12">
        <v>77</v>
      </c>
      <c r="C104" s="19">
        <f t="shared" ca="1" si="11"/>
        <v>-0.23144422473894513</v>
      </c>
      <c r="D104" s="19">
        <f t="shared" ca="1" si="11"/>
        <v>7.6405083496806511E-2</v>
      </c>
      <c r="E104" s="19">
        <f t="shared" ca="1" si="11"/>
        <v>0.27164243321342058</v>
      </c>
      <c r="F104" s="20"/>
      <c r="H104" s="19">
        <f t="array" aca="1" ref="H104:J104" ca="1">TRANSPOSE(MMULT(adjchol,TRANSPOSE(C104:E104)))</f>
        <v>-0.23144422473894513</v>
      </c>
      <c r="I104" s="19">
        <f ca="1"/>
        <v>-0.17499559849151394</v>
      </c>
      <c r="J104" s="19">
        <f ca="1"/>
        <v>-7.1605034159369474E-2</v>
      </c>
      <c r="K104" s="20"/>
      <c r="M104" s="21">
        <f t="shared" ca="1" si="8"/>
        <v>1.7685557752610548E-2</v>
      </c>
      <c r="N104" s="21">
        <f t="shared" ca="1" si="9"/>
        <v>2.3000176060339439E-2</v>
      </c>
      <c r="O104" s="21">
        <f t="shared" ca="1" si="10"/>
        <v>7.9259244876094578E-2</v>
      </c>
    </row>
    <row r="105" spans="2:15">
      <c r="B105" s="12">
        <v>78</v>
      </c>
      <c r="C105" s="19">
        <f t="shared" ca="1" si="11"/>
        <v>0.33409133235507871</v>
      </c>
      <c r="D105" s="19">
        <f t="shared" ca="1" si="11"/>
        <v>1.7209676095875326</v>
      </c>
      <c r="E105" s="19">
        <f t="shared" ca="1" si="11"/>
        <v>-0.46948090020969507</v>
      </c>
      <c r="F105" s="20"/>
      <c r="H105" s="19">
        <f t="array" aca="1" ref="H105:J105" ca="1">TRANSPOSE(MMULT(adjchol,TRANSPOSE(C105:E105)))</f>
        <v>0.33409133235507871</v>
      </c>
      <c r="I105" s="19">
        <f ca="1"/>
        <v>1.0508345886494521</v>
      </c>
      <c r="J105" s="19">
        <f ca="1"/>
        <v>-0.90014192765014933</v>
      </c>
      <c r="K105" s="20"/>
      <c r="M105" s="21">
        <f t="shared" ca="1" si="8"/>
        <v>2.3340913323550788E-2</v>
      </c>
      <c r="N105" s="21">
        <f t="shared" ca="1" si="9"/>
        <v>7.2033383545978075E-2</v>
      </c>
      <c r="O105" s="21">
        <f t="shared" ca="1" si="10"/>
        <v>-4.5021289147522403E-2</v>
      </c>
    </row>
    <row r="106" spans="2:15">
      <c r="B106" s="12">
        <v>79</v>
      </c>
      <c r="C106" s="19">
        <f t="shared" ca="1" si="11"/>
        <v>0.21090782377957851</v>
      </c>
      <c r="D106" s="19">
        <f t="shared" ca="1" si="11"/>
        <v>-8.3627294902421531E-2</v>
      </c>
      <c r="E106" s="19">
        <f t="shared" ca="1" si="11"/>
        <v>1.1358648371894571</v>
      </c>
      <c r="F106" s="20"/>
      <c r="H106" s="19">
        <f t="array" aca="1" ref="H106:J106" ca="1">TRANSPOSE(MMULT(adjchol,TRANSPOSE(C106:E106)))</f>
        <v>0.21090782377957851</v>
      </c>
      <c r="I106" s="19">
        <f ca="1"/>
        <v>0.15336474866148772</v>
      </c>
      <c r="J106" s="19">
        <f ca="1"/>
        <v>0.73837019997087439</v>
      </c>
      <c r="K106" s="20"/>
      <c r="M106" s="21">
        <f t="shared" ca="1" si="8"/>
        <v>2.2109078237795787E-2</v>
      </c>
      <c r="N106" s="21">
        <f t="shared" ca="1" si="9"/>
        <v>3.613458994645951E-2</v>
      </c>
      <c r="O106" s="21">
        <f t="shared" ca="1" si="10"/>
        <v>0.20075552999563115</v>
      </c>
    </row>
    <row r="107" spans="2:15">
      <c r="B107" s="12">
        <v>80</v>
      </c>
      <c r="C107" s="19">
        <f t="shared" ca="1" si="11"/>
        <v>-0.24714478126824857</v>
      </c>
      <c r="D107" s="19">
        <f t="shared" ca="1" si="11"/>
        <v>0.10080183143448117</v>
      </c>
      <c r="E107" s="19">
        <f t="shared" ca="1" si="11"/>
        <v>-1.2122512297247072</v>
      </c>
      <c r="F107" s="20"/>
      <c r="H107" s="19">
        <f t="array" aca="1" ref="H107:J107" ca="1">TRANSPOSE(MMULT(adjchol,TRANSPOSE(C107:E107)))</f>
        <v>-0.24714478126824857</v>
      </c>
      <c r="I107" s="19">
        <f ca="1"/>
        <v>-0.17849180348675123</v>
      </c>
      <c r="J107" s="19">
        <f ca="1"/>
        <v>-0.80955747725915406</v>
      </c>
      <c r="K107" s="20"/>
      <c r="M107" s="21">
        <f t="shared" ca="1" si="8"/>
        <v>1.7528552187317515E-2</v>
      </c>
      <c r="N107" s="21">
        <f t="shared" ca="1" si="9"/>
        <v>2.2860327860529949E-2</v>
      </c>
      <c r="O107" s="21">
        <f t="shared" ca="1" si="10"/>
        <v>-3.1433621588873112E-2</v>
      </c>
    </row>
    <row r="108" spans="2:15">
      <c r="B108" s="12">
        <v>81</v>
      </c>
      <c r="C108" s="19">
        <f t="shared" ca="1" si="11"/>
        <v>-1.3714955677105514</v>
      </c>
      <c r="D108" s="19">
        <f t="shared" ca="1" si="11"/>
        <v>0.13367649968360515</v>
      </c>
      <c r="E108" s="19">
        <f t="shared" ca="1" si="11"/>
        <v>-3.6091981737010297</v>
      </c>
      <c r="F108" s="20"/>
      <c r="H108" s="19">
        <f t="array" aca="1" ref="H108:J108" ca="1">TRANSPOSE(MMULT(adjchol,TRANSPOSE(C108:E108)))</f>
        <v>-1.3714955677105514</v>
      </c>
      <c r="I108" s="19">
        <f ca="1"/>
        <v>-1.1760777756147882</v>
      </c>
      <c r="J108" s="19">
        <f ca="1"/>
        <v>-2.7674239460672378</v>
      </c>
      <c r="K108" s="20"/>
      <c r="M108" s="21">
        <f t="shared" ca="1" si="8"/>
        <v>6.2850443228944872E-3</v>
      </c>
      <c r="N108" s="21">
        <f t="shared" ca="1" si="9"/>
        <v>-1.704311102459153E-2</v>
      </c>
      <c r="O108" s="21">
        <f t="shared" ca="1" si="10"/>
        <v>-0.32511359191008571</v>
      </c>
    </row>
    <row r="109" spans="2:15">
      <c r="B109" s="12">
        <v>82</v>
      </c>
      <c r="C109" s="19">
        <f t="shared" ca="1" si="11"/>
        <v>1.4336944167778602</v>
      </c>
      <c r="D109" s="19">
        <f t="shared" ca="1" si="11"/>
        <v>-0.42399025230916337</v>
      </c>
      <c r="E109" s="19">
        <f t="shared" ca="1" si="11"/>
        <v>4.6895099933939362E-3</v>
      </c>
      <c r="F109" s="20"/>
      <c r="H109" s="19">
        <f t="array" aca="1" ref="H109:J109" ca="1">TRANSPOSE(MMULT(adjchol,TRANSPOSE(C109:E109)))</f>
        <v>1.4336944167778602</v>
      </c>
      <c r="I109" s="19">
        <f ca="1"/>
        <v>1.1055119088138787</v>
      </c>
      <c r="J109" s="19">
        <f ca="1"/>
        <v>1.2295638884814621</v>
      </c>
      <c r="K109" s="20"/>
      <c r="M109" s="21">
        <f t="shared" ca="1" si="8"/>
        <v>3.4336944167778605E-2</v>
      </c>
      <c r="N109" s="21">
        <f t="shared" ca="1" si="9"/>
        <v>7.4220476352555159E-2</v>
      </c>
      <c r="O109" s="21">
        <f t="shared" ca="1" si="10"/>
        <v>0.27443458327221931</v>
      </c>
    </row>
    <row r="110" spans="2:15">
      <c r="B110" s="12">
        <v>83</v>
      </c>
      <c r="C110" s="19">
        <f t="shared" ca="1" si="11"/>
        <v>1.6996377775917875</v>
      </c>
      <c r="D110" s="19">
        <f t="shared" ca="1" si="11"/>
        <v>0.10300251190641413</v>
      </c>
      <c r="E110" s="19">
        <f t="shared" ca="1" si="11"/>
        <v>-1.3793040635044047</v>
      </c>
      <c r="F110" s="20"/>
      <c r="H110" s="19">
        <f t="array" aca="1" ref="H110:J110" ca="1">TRANSPOSE(MMULT(adjchol,TRANSPOSE(C110:E110)))</f>
        <v>1.6996377775917875</v>
      </c>
      <c r="I110" s="19">
        <f ca="1"/>
        <v>1.5745717538656991</v>
      </c>
      <c r="J110" s="19">
        <f ca="1"/>
        <v>0.4716388602271796</v>
      </c>
      <c r="K110" s="20"/>
      <c r="M110" s="21">
        <f t="shared" ca="1" si="8"/>
        <v>3.6996377775917876E-2</v>
      </c>
      <c r="N110" s="21">
        <f t="shared" ca="1" si="9"/>
        <v>9.2982870154627972E-2</v>
      </c>
      <c r="O110" s="21">
        <f t="shared" ca="1" si="10"/>
        <v>0.16074582903407691</v>
      </c>
    </row>
    <row r="111" spans="2:15">
      <c r="B111" s="12">
        <v>84</v>
      </c>
      <c r="C111" s="19">
        <f t="shared" ca="1" si="11"/>
        <v>1.3905772452643381</v>
      </c>
      <c r="D111" s="19">
        <f t="shared" ca="1" si="11"/>
        <v>-0.24823304878237107</v>
      </c>
      <c r="E111" s="19">
        <f t="shared" ca="1" si="11"/>
        <v>-1.688197087724475</v>
      </c>
      <c r="F111" s="20"/>
      <c r="H111" s="19">
        <f t="array" aca="1" ref="H111:J111" ca="1">TRANSPOSE(MMULT(adjchol,TRANSPOSE(C111:E111)))</f>
        <v>1.3905772452643381</v>
      </c>
      <c r="I111" s="19">
        <f ca="1"/>
        <v>1.1433172433289687</v>
      </c>
      <c r="J111" s="19">
        <f ca="1"/>
        <v>0.291980594702826</v>
      </c>
      <c r="K111" s="20"/>
      <c r="M111" s="21">
        <f t="shared" ca="1" si="8"/>
        <v>3.3905772452643382E-2</v>
      </c>
      <c r="N111" s="21">
        <f t="shared" ca="1" si="9"/>
        <v>7.5732689733158748E-2</v>
      </c>
      <c r="O111" s="21">
        <f t="shared" ca="1" si="10"/>
        <v>0.13379708920542388</v>
      </c>
    </row>
    <row r="112" spans="2:15">
      <c r="B112" s="12">
        <v>85</v>
      </c>
      <c r="C112" s="19">
        <f t="shared" ca="1" si="11"/>
        <v>-0.71958969704644382</v>
      </c>
      <c r="D112" s="19">
        <f t="shared" ca="1" si="11"/>
        <v>-0.21937775066348192</v>
      </c>
      <c r="E112" s="19">
        <f t="shared" ca="1" si="11"/>
        <v>-2.1628314811056053</v>
      </c>
      <c r="F112" s="20"/>
      <c r="H112" s="19">
        <f t="array" aca="1" ref="H112:J112" ca="1">TRANSPOSE(MMULT(adjchol,TRANSPOSE(C112:E112)))</f>
        <v>-0.71958969704644382</v>
      </c>
      <c r="I112" s="19">
        <f ca="1"/>
        <v>-0.74325527190213758</v>
      </c>
      <c r="J112" s="19">
        <f ca="1"/>
        <v>-1.4287685909394277</v>
      </c>
      <c r="K112" s="20"/>
      <c r="M112" s="21">
        <f t="shared" ca="1" si="8"/>
        <v>1.2804103029535562E-2</v>
      </c>
      <c r="N112" s="21">
        <f t="shared" ca="1" si="9"/>
        <v>2.6978912391449617E-4</v>
      </c>
      <c r="O112" s="21">
        <f t="shared" ca="1" si="10"/>
        <v>-0.12431528864091415</v>
      </c>
    </row>
    <row r="113" spans="2:15">
      <c r="B113" s="12">
        <v>86</v>
      </c>
      <c r="C113" s="19">
        <f t="shared" ca="1" si="11"/>
        <v>-1.3618113206760867</v>
      </c>
      <c r="D113" s="19">
        <f t="shared" ca="1" si="11"/>
        <v>-0.70475160513409907</v>
      </c>
      <c r="E113" s="19">
        <f t="shared" ca="1" si="11"/>
        <v>-0.86245165841025473</v>
      </c>
      <c r="F113" s="20"/>
      <c r="H113" s="19">
        <f t="array" aca="1" ref="H113:J113" ca="1">TRANSPOSE(MMULT(adjchol,TRANSPOSE(C113:E113)))</f>
        <v>-1.3618113206760867</v>
      </c>
      <c r="I113" s="19">
        <f ca="1"/>
        <v>-1.5328242913162398</v>
      </c>
      <c r="J113" s="19">
        <f ca="1"/>
        <v>-0.99643597483373147</v>
      </c>
      <c r="K113" s="20"/>
      <c r="M113" s="21">
        <f t="shared" ca="1" si="8"/>
        <v>6.3818867932391339E-3</v>
      </c>
      <c r="N113" s="21">
        <f t="shared" ca="1" si="9"/>
        <v>-3.1312971652649596E-2</v>
      </c>
      <c r="O113" s="21">
        <f t="shared" ca="1" si="10"/>
        <v>-5.9465396225059725E-2</v>
      </c>
    </row>
    <row r="114" spans="2:15">
      <c r="B114" s="12">
        <v>87</v>
      </c>
      <c r="C114" s="19">
        <f t="shared" ca="1" si="11"/>
        <v>0.64071393666505394</v>
      </c>
      <c r="D114" s="19">
        <f t="shared" ca="1" si="11"/>
        <v>0.39893618177866663</v>
      </c>
      <c r="E114" s="19">
        <f t="shared" ca="1" si="11"/>
        <v>-0.46475681997578328</v>
      </c>
      <c r="F114" s="20"/>
      <c r="H114" s="19">
        <f t="array" aca="1" ref="H114:J114" ca="1">TRANSPOSE(MMULT(adjchol,TRANSPOSE(C114:E114)))</f>
        <v>0.64071393666505394</v>
      </c>
      <c r="I114" s="19">
        <f ca="1"/>
        <v>0.75053479312806659</v>
      </c>
      <c r="J114" s="19">
        <f ca="1"/>
        <v>1.4345311463217852E-2</v>
      </c>
      <c r="K114" s="20"/>
      <c r="M114" s="21">
        <f t="shared" ca="1" si="8"/>
        <v>2.6407139366650539E-2</v>
      </c>
      <c r="N114" s="21">
        <f t="shared" ca="1" si="9"/>
        <v>6.0021391725122664E-2</v>
      </c>
      <c r="O114" s="21">
        <f t="shared" ca="1" si="10"/>
        <v>9.2151796719482676E-2</v>
      </c>
    </row>
    <row r="115" spans="2:15">
      <c r="B115" s="12">
        <v>88</v>
      </c>
      <c r="C115" s="19">
        <f t="shared" ca="1" si="11"/>
        <v>0.41735281021578108</v>
      </c>
      <c r="D115" s="19">
        <f t="shared" ca="1" si="11"/>
        <v>-0.11824555169906376</v>
      </c>
      <c r="E115" s="19">
        <f t="shared" ca="1" si="11"/>
        <v>-0.98679281427938792</v>
      </c>
      <c r="F115" s="20"/>
      <c r="H115" s="19">
        <f t="array" aca="1" ref="H115:J115" ca="1">TRANSPOSE(MMULT(adjchol,TRANSPOSE(C115:E115)))</f>
        <v>0.41735281021578108</v>
      </c>
      <c r="I115" s="19">
        <f ca="1"/>
        <v>0.32407548815625969</v>
      </c>
      <c r="J115" s="19">
        <f ca="1"/>
        <v>-0.12033089118755458</v>
      </c>
      <c r="K115" s="20"/>
      <c r="M115" s="21">
        <f t="shared" ca="1" si="8"/>
        <v>2.417352810215781E-2</v>
      </c>
      <c r="N115" s="21">
        <f t="shared" ca="1" si="9"/>
        <v>4.2963019526250389E-2</v>
      </c>
      <c r="O115" s="21">
        <f t="shared" ca="1" si="10"/>
        <v>7.1950366321866813E-2</v>
      </c>
    </row>
    <row r="116" spans="2:15">
      <c r="B116" s="12">
        <v>89</v>
      </c>
      <c r="C116" s="19">
        <f t="shared" ca="1" si="11"/>
        <v>-3.8481051953777041E-3</v>
      </c>
      <c r="D116" s="19">
        <f t="shared" ca="1" si="11"/>
        <v>-0.76728583553946406</v>
      </c>
      <c r="E116" s="19">
        <f t="shared" ca="1" si="11"/>
        <v>0.24412693595747986</v>
      </c>
      <c r="F116" s="20"/>
      <c r="H116" s="19">
        <f t="array" aca="1" ref="H116:J116" ca="1">TRANSPOSE(MMULT(adjchol,TRANSPOSE(C116:E116)))</f>
        <v>-3.8481051953777041E-3</v>
      </c>
      <c r="I116" s="19">
        <f ca="1"/>
        <v>-0.33791543646850919</v>
      </c>
      <c r="J116" s="19">
        <f ca="1"/>
        <v>0.51964979709969283</v>
      </c>
      <c r="K116" s="20"/>
      <c r="M116" s="21">
        <f t="shared" ca="1" si="8"/>
        <v>1.9961518948046222E-2</v>
      </c>
      <c r="N116" s="21">
        <f t="shared" ca="1" si="9"/>
        <v>1.6483382541259632E-2</v>
      </c>
      <c r="O116" s="21">
        <f t="shared" ca="1" si="10"/>
        <v>0.16794746956495393</v>
      </c>
    </row>
    <row r="117" spans="2:15">
      <c r="B117" s="12">
        <v>90</v>
      </c>
      <c r="C117" s="19">
        <f t="shared" ca="1" si="11"/>
        <v>-1.0436400473540226</v>
      </c>
      <c r="D117" s="19">
        <f t="shared" ca="1" si="11"/>
        <v>-1.8735059795343063</v>
      </c>
      <c r="E117" s="19">
        <f t="shared" ca="1" si="11"/>
        <v>1.7542136479138413</v>
      </c>
      <c r="F117" s="20"/>
      <c r="H117" s="19">
        <f t="array" aca="1" ref="H117:J117" ca="1">TRANSPOSE(MMULT(adjchol,TRANSPOSE(C117:E117)))</f>
        <v>-1.0436400473540226</v>
      </c>
      <c r="I117" s="19">
        <f ca="1"/>
        <v>-1.7559183661095425</v>
      </c>
      <c r="J117" s="19">
        <f ca="1"/>
        <v>1.1021930896517682</v>
      </c>
      <c r="K117" s="20"/>
      <c r="M117" s="21">
        <f t="shared" ca="1" si="8"/>
        <v>9.5635995264597741E-3</v>
      </c>
      <c r="N117" s="21">
        <f t="shared" ca="1" si="9"/>
        <v>-4.0236734644381711E-2</v>
      </c>
      <c r="O117" s="21">
        <f t="shared" ca="1" si="10"/>
        <v>0.25532896344776523</v>
      </c>
    </row>
    <row r="118" spans="2:15">
      <c r="B118" s="12">
        <v>91</v>
      </c>
      <c r="C118" s="19">
        <f t="shared" ca="1" si="11"/>
        <v>1.0033916753964349</v>
      </c>
      <c r="D118" s="19">
        <f t="shared" ca="1" si="11"/>
        <v>-0.70564968663922689</v>
      </c>
      <c r="E118" s="19">
        <f t="shared" ca="1" si="11"/>
        <v>-1.1041548493910776</v>
      </c>
      <c r="F118" s="20"/>
      <c r="H118" s="19">
        <f t="array" aca="1" ref="H118:J118" ca="1">TRANSPOSE(MMULT(adjchol,TRANSPOSE(C118:E118)))</f>
        <v>1.0033916753964349</v>
      </c>
      <c r="I118" s="19">
        <f ca="1"/>
        <v>0.59546694049663818</v>
      </c>
      <c r="J118" s="19">
        <f ca="1"/>
        <v>0.543366019275907</v>
      </c>
      <c r="K118" s="20"/>
      <c r="M118" s="21">
        <f t="shared" ca="1" si="8"/>
        <v>3.003391675396435E-2</v>
      </c>
      <c r="N118" s="21">
        <f t="shared" ca="1" si="9"/>
        <v>5.3818677619865529E-2</v>
      </c>
      <c r="O118" s="21">
        <f t="shared" ca="1" si="10"/>
        <v>0.17150490289138604</v>
      </c>
    </row>
    <row r="119" spans="2:15">
      <c r="B119" s="12">
        <v>92</v>
      </c>
      <c r="C119" s="19">
        <f t="shared" ca="1" si="11"/>
        <v>-1.547225691306948</v>
      </c>
      <c r="D119" s="19">
        <f t="shared" ca="1" si="11"/>
        <v>0.48571881233544378</v>
      </c>
      <c r="E119" s="19">
        <f t="shared" ca="1" si="11"/>
        <v>-1.9197962590472015</v>
      </c>
      <c r="F119" s="20"/>
      <c r="H119" s="19">
        <f t="array" aca="1" ref="H119:J119" ca="1">TRANSPOSE(MMULT(adjchol,TRANSPOSE(C119:E119)))</f>
        <v>-1.547225691306948</v>
      </c>
      <c r="I119" s="19">
        <f ca="1"/>
        <v>-1.1807832003815735</v>
      </c>
      <c r="J119" s="19">
        <f ca="1"/>
        <v>-2.2632073613946551</v>
      </c>
      <c r="K119" s="20"/>
      <c r="M119" s="21">
        <f t="shared" ca="1" si="8"/>
        <v>4.5277430869305208E-3</v>
      </c>
      <c r="N119" s="21">
        <f t="shared" ca="1" si="9"/>
        <v>-1.7231328015262941E-2</v>
      </c>
      <c r="O119" s="21">
        <f t="shared" ca="1" si="10"/>
        <v>-0.24948110420919825</v>
      </c>
    </row>
    <row r="120" spans="2:15">
      <c r="B120" s="12">
        <v>93</v>
      </c>
      <c r="C120" s="19">
        <f t="shared" ca="1" si="11"/>
        <v>-0.58550055062483364</v>
      </c>
      <c r="D120" s="19">
        <f t="shared" ca="1" si="11"/>
        <v>-0.57347689800213086</v>
      </c>
      <c r="E120" s="19">
        <f t="shared" ca="1" si="11"/>
        <v>1.7768142169812506</v>
      </c>
      <c r="F120" s="20"/>
      <c r="H120" s="19">
        <f t="array" aca="1" ref="H120:J120" ca="1">TRANSPOSE(MMULT(adjchol,TRANSPOSE(C120:E120)))</f>
        <v>-0.58550055062483364</v>
      </c>
      <c r="I120" s="19">
        <f ca="1"/>
        <v>-0.7769232800469974</v>
      </c>
      <c r="J120" s="19">
        <f ca="1"/>
        <v>0.7477983408611335</v>
      </c>
      <c r="K120" s="20"/>
      <c r="M120" s="21">
        <f t="shared" ca="1" si="8"/>
        <v>1.4144994493751664E-2</v>
      </c>
      <c r="N120" s="21">
        <f t="shared" ca="1" si="9"/>
        <v>-1.0769312018798979E-3</v>
      </c>
      <c r="O120" s="21">
        <f t="shared" ca="1" si="10"/>
        <v>0.20216975112917002</v>
      </c>
    </row>
    <row r="121" spans="2:15">
      <c r="B121" s="12">
        <v>94</v>
      </c>
      <c r="C121" s="19">
        <f t="shared" ca="1" si="11"/>
        <v>-2.0278345596638765</v>
      </c>
      <c r="D121" s="19">
        <f t="shared" ca="1" si="11"/>
        <v>-0.21244516574263059</v>
      </c>
      <c r="E121" s="19">
        <f t="shared" ca="1" si="11"/>
        <v>0.52757436183697071</v>
      </c>
      <c r="F121" s="20"/>
      <c r="H121" s="19">
        <f t="array" aca="1" ref="H121:J121" ca="1">TRANSPOSE(MMULT(adjchol,TRANSPOSE(C121:E121)))</f>
        <v>-2.0278345596638765</v>
      </c>
      <c r="I121" s="19">
        <f ca="1"/>
        <v>-1.9176538045490763</v>
      </c>
      <c r="J121" s="19">
        <f ca="1"/>
        <v>-1.0535034201534075</v>
      </c>
      <c r="K121" s="20"/>
      <c r="M121" s="21">
        <f t="shared" ca="1" si="8"/>
        <v>-2.7834559663876546E-4</v>
      </c>
      <c r="N121" s="21">
        <f t="shared" ca="1" si="9"/>
        <v>-4.6706152181963057E-2</v>
      </c>
      <c r="O121" s="21">
        <f t="shared" ca="1" si="10"/>
        <v>-6.802551302301113E-2</v>
      </c>
    </row>
    <row r="122" spans="2:15">
      <c r="B122" s="12">
        <v>95</v>
      </c>
      <c r="C122" s="19">
        <f t="shared" ca="1" si="11"/>
        <v>0.58786350622207384</v>
      </c>
      <c r="D122" s="19">
        <f t="shared" ca="1" si="11"/>
        <v>0.31205802881385014</v>
      </c>
      <c r="E122" s="19">
        <f t="shared" ca="1" si="11"/>
        <v>-8.217689610721933E-2</v>
      </c>
      <c r="F122" s="20"/>
      <c r="H122" s="19">
        <f t="array" aca="1" ref="H122:J122" ca="1">TRANSPOSE(MMULT(adjchol,TRANSPOSE(C122:E122)))</f>
        <v>0.58786350622207384</v>
      </c>
      <c r="I122" s="19">
        <f ca="1"/>
        <v>0.6651000968118741</v>
      </c>
      <c r="J122" s="19">
        <f ca="1"/>
        <v>0.20729940411089309</v>
      </c>
      <c r="K122" s="20"/>
      <c r="M122" s="21">
        <f t="shared" ca="1" si="8"/>
        <v>2.587863506222074E-2</v>
      </c>
      <c r="N122" s="21">
        <f t="shared" ca="1" si="9"/>
        <v>5.6604003872474967E-2</v>
      </c>
      <c r="O122" s="21">
        <f t="shared" ca="1" si="10"/>
        <v>0.12109491061663397</v>
      </c>
    </row>
    <row r="123" spans="2:15">
      <c r="B123" s="12">
        <v>96</v>
      </c>
      <c r="C123" s="19">
        <f t="shared" ca="1" si="11"/>
        <v>-1.1925897594558315</v>
      </c>
      <c r="D123" s="19">
        <f t="shared" ca="1" si="11"/>
        <v>1.4844222945852528</v>
      </c>
      <c r="E123" s="19">
        <f t="shared" ca="1" si="11"/>
        <v>1.0550311818472622</v>
      </c>
      <c r="F123" s="20"/>
      <c r="H123" s="19">
        <f t="array" aca="1" ref="H123:J123" ca="1">TRANSPOSE(MMULT(adjchol,TRANSPOSE(C123:E123)))</f>
        <v>-1.1925897594558315</v>
      </c>
      <c r="I123" s="19">
        <f ca="1"/>
        <v>-0.42628610634666042</v>
      </c>
      <c r="J123" s="19">
        <f ca="1"/>
        <v>-1.1103684744247821</v>
      </c>
      <c r="K123" s="20"/>
      <c r="M123" s="21">
        <f t="shared" ca="1" si="8"/>
        <v>8.0741024054416851E-3</v>
      </c>
      <c r="N123" s="21">
        <f t="shared" ca="1" si="9"/>
        <v>1.2948555746133582E-2</v>
      </c>
      <c r="O123" s="21">
        <f t="shared" ca="1" si="10"/>
        <v>-7.6555271163717326E-2</v>
      </c>
    </row>
    <row r="124" spans="2:15">
      <c r="B124" s="12">
        <v>97</v>
      </c>
      <c r="C124" s="19">
        <f t="shared" ca="1" si="11"/>
        <v>-2.0328770572307571</v>
      </c>
      <c r="D124" s="19">
        <f t="shared" ca="1" si="11"/>
        <v>0.33569244585166452</v>
      </c>
      <c r="E124" s="19">
        <f t="shared" ca="1" si="11"/>
        <v>-1.0924121856928104</v>
      </c>
      <c r="F124" s="20"/>
      <c r="H124" s="19">
        <f t="array" aca="1" ref="H124:J124" ca="1">TRANSPOSE(MMULT(adjchol,TRANSPOSE(C124:E124)))</f>
        <v>-2.0328770572307571</v>
      </c>
      <c r="I124" s="19">
        <f ca="1"/>
        <v>-1.6832644067499407</v>
      </c>
      <c r="J124" s="19">
        <f ca="1"/>
        <v>-2.1258418325057109</v>
      </c>
      <c r="K124" s="20"/>
      <c r="M124" s="21">
        <f t="shared" ca="1" si="8"/>
        <v>-3.2877057230757192E-4</v>
      </c>
      <c r="N124" s="21">
        <f t="shared" ca="1" si="9"/>
        <v>-3.7330576269997626E-2</v>
      </c>
      <c r="O124" s="21">
        <f t="shared" ca="1" si="10"/>
        <v>-0.22887627487585663</v>
      </c>
    </row>
    <row r="125" spans="2:15">
      <c r="B125" s="12">
        <v>98</v>
      </c>
      <c r="C125" s="19">
        <f t="shared" ca="1" si="11"/>
        <v>-1.995633318084838</v>
      </c>
      <c r="D125" s="19">
        <f t="shared" ca="1" si="11"/>
        <v>0.57572672177701567</v>
      </c>
      <c r="E125" s="19">
        <f t="shared" ca="1" si="11"/>
        <v>-0.23907346154524881</v>
      </c>
      <c r="F125" s="20"/>
      <c r="H125" s="19">
        <f t="array" aca="1" ref="H125:J125" ca="1">TRANSPOSE(MMULT(adjchol,TRANSPOSE(C125:E125)))</f>
        <v>-1.995633318084838</v>
      </c>
      <c r="I125" s="19">
        <f ca="1"/>
        <v>-1.5451165263441573</v>
      </c>
      <c r="J125" s="19">
        <f ca="1"/>
        <v>-1.8157775758496724</v>
      </c>
      <c r="K125" s="20"/>
      <c r="M125" s="21">
        <f t="shared" ca="1" si="8"/>
        <v>4.3666819151619296E-5</v>
      </c>
      <c r="N125" s="21">
        <f t="shared" ca="1" si="9"/>
        <v>-3.1804661053766295E-2</v>
      </c>
      <c r="O125" s="21">
        <f t="shared" ca="1" si="10"/>
        <v>-0.18236663637745085</v>
      </c>
    </row>
    <row r="126" spans="2:15">
      <c r="B126" s="12">
        <v>99</v>
      </c>
      <c r="C126" s="19">
        <f t="shared" ca="1" si="11"/>
        <v>0.21299399094170082</v>
      </c>
      <c r="D126" s="19">
        <f t="shared" ca="1" si="11"/>
        <v>0.8663095823702488</v>
      </c>
      <c r="E126" s="19">
        <f t="shared" ca="1" si="11"/>
        <v>9.4151222186957553E-2</v>
      </c>
      <c r="F126" s="20"/>
      <c r="H126" s="19">
        <f t="array" aca="1" ref="H126:J126" ca="1">TRANSPOSE(MMULT(adjchol,TRANSPOSE(C126:E126)))</f>
        <v>0.21299399094170082</v>
      </c>
      <c r="I126" s="19">
        <f ca="1"/>
        <v>0.5693101841848146</v>
      </c>
      <c r="J126" s="19">
        <f ca="1"/>
        <v>-0.26270975469382352</v>
      </c>
      <c r="K126" s="20"/>
      <c r="M126" s="21">
        <f t="shared" ca="1" si="8"/>
        <v>2.2129939909417008E-2</v>
      </c>
      <c r="N126" s="21">
        <f t="shared" ca="1" si="9"/>
        <v>5.2772407367392582E-2</v>
      </c>
      <c r="O126" s="21">
        <f t="shared" ca="1" si="10"/>
        <v>5.0593536795926472E-2</v>
      </c>
    </row>
    <row r="127" spans="2:15">
      <c r="B127" s="12">
        <v>100</v>
      </c>
      <c r="C127" s="19">
        <f t="shared" ca="1" si="11"/>
        <v>-1.0232313815215677</v>
      </c>
      <c r="D127" s="19">
        <f t="shared" ca="1" si="11"/>
        <v>0.41489840144794732</v>
      </c>
      <c r="E127" s="19">
        <f t="shared" ca="1" si="11"/>
        <v>-0.49806655450276993</v>
      </c>
      <c r="F127" s="20"/>
      <c r="H127" s="19">
        <f t="array" aca="1" ref="H127:J127" ca="1">TRANSPOSE(MMULT(adjchol,TRANSPOSE(C127:E127)))</f>
        <v>-1.0232313815215677</v>
      </c>
      <c r="I127" s="19">
        <f ca="1"/>
        <v>-0.74005822299459378</v>
      </c>
      <c r="J127" s="19">
        <f ca="1"/>
        <v>-1.1748685023170378</v>
      </c>
      <c r="K127" s="20"/>
      <c r="M127" s="21">
        <f t="shared" ca="1" si="8"/>
        <v>9.7676861847843226E-3</v>
      </c>
      <c r="N127" s="21">
        <f t="shared" ca="1" si="9"/>
        <v>3.9767108021624559E-4</v>
      </c>
      <c r="O127" s="21">
        <f t="shared" ca="1" si="10"/>
        <v>-8.6230275347555674E-2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I504"/>
  <sheetViews>
    <sheetView workbookViewId="0">
      <selection activeCell="B1" sqref="B1"/>
    </sheetView>
  </sheetViews>
  <sheetFormatPr baseColWidth="10" defaultColWidth="8.6640625" defaultRowHeight="16"/>
  <cols>
    <col min="1" max="16384" width="8.6640625" style="24"/>
  </cols>
  <sheetData>
    <row r="4" spans="1:5">
      <c r="D4" s="24">
        <v>-100</v>
      </c>
    </row>
    <row r="5" spans="1:5">
      <c r="A5" s="24">
        <v>1</v>
      </c>
      <c r="B5" s="25">
        <f ca="1">sim!M28*100</f>
        <v>4.4520417925789086</v>
      </c>
      <c r="D5" s="24">
        <v>-3</v>
      </c>
      <c r="E5" s="24" cm="1">
        <f t="array" aca="1" ref="E5" ca="1">SUMPRODUCT(IF($B$5:$B$104&gt;D4,1,0),IF($B$5:$B$104&lt;=D5,1,0))</f>
        <v>0</v>
      </c>
    </row>
    <row r="6" spans="1:5">
      <c r="A6" s="24">
        <v>2</v>
      </c>
      <c r="B6" s="25">
        <f ca="1">sim!M29*100</f>
        <v>1.899296687365795</v>
      </c>
      <c r="D6" s="24">
        <v>-2.9</v>
      </c>
      <c r="E6" s="24" cm="1">
        <f t="array" aca="1" ref="E6" ca="1">SUMPRODUCT(IF($B$5:$B$104&gt;D5,1,0),IF($B$5:$B$104&lt;=D6,1,0))</f>
        <v>0</v>
      </c>
    </row>
    <row r="7" spans="1:5">
      <c r="A7" s="24">
        <v>3</v>
      </c>
      <c r="B7" s="25">
        <f ca="1">sim!M30*100</f>
        <v>-0.66966677451771772</v>
      </c>
      <c r="D7" s="24">
        <v>-2.8</v>
      </c>
      <c r="E7" s="24" cm="1">
        <f t="array" aca="1" ref="E7" ca="1">SUMPRODUCT(IF($B$5:$B$104&gt;D6,1,0),IF($B$5:$B$104&lt;=D7,1,0))</f>
        <v>0</v>
      </c>
    </row>
    <row r="8" spans="1:5">
      <c r="A8" s="24">
        <v>4</v>
      </c>
      <c r="B8" s="25">
        <f ca="1">sim!M31*100</f>
        <v>0.24059488502080512</v>
      </c>
      <c r="D8" s="24">
        <v>-2.7</v>
      </c>
      <c r="E8" s="24" cm="1">
        <f t="array" aca="1" ref="E8" ca="1">SUMPRODUCT(IF($B$5:$B$104&gt;D7,1,0),IF($B$5:$B$104&lt;=D8,1,0))</f>
        <v>0</v>
      </c>
    </row>
    <row r="9" spans="1:5">
      <c r="A9" s="24">
        <v>5</v>
      </c>
      <c r="B9" s="25">
        <f ca="1">sim!M32*100</f>
        <v>0.78390763107370098</v>
      </c>
      <c r="D9" s="24">
        <v>-2.6</v>
      </c>
      <c r="E9" s="24" cm="1">
        <f t="array" aca="1" ref="E9" ca="1">SUMPRODUCT(IF($B$5:$B$104&gt;D8,1,0),IF($B$5:$B$104&lt;=D9,1,0))</f>
        <v>0</v>
      </c>
    </row>
    <row r="10" spans="1:5">
      <c r="A10" s="24">
        <v>6</v>
      </c>
      <c r="B10" s="25">
        <f ca="1">sim!M33*100</f>
        <v>2.6139874773704488</v>
      </c>
      <c r="D10" s="24">
        <v>-2.5</v>
      </c>
      <c r="E10" s="24" cm="1">
        <f t="array" aca="1" ref="E10" ca="1">SUMPRODUCT(IF($B$5:$B$104&gt;D9,1,0),IF($B$5:$B$104&lt;=D10,1,0))</f>
        <v>0</v>
      </c>
    </row>
    <row r="11" spans="1:5">
      <c r="A11" s="24">
        <v>7</v>
      </c>
      <c r="B11" s="25">
        <f ca="1">sim!M34*100</f>
        <v>2.1819576236806064</v>
      </c>
      <c r="D11" s="24">
        <v>-2.4</v>
      </c>
      <c r="E11" s="24" cm="1">
        <f t="array" aca="1" ref="E11" ca="1">SUMPRODUCT(IF($B$5:$B$104&gt;D10,1,0),IF($B$5:$B$104&lt;=D11,1,0))</f>
        <v>0</v>
      </c>
    </row>
    <row r="12" spans="1:5">
      <c r="A12" s="24">
        <v>8</v>
      </c>
      <c r="B12" s="25">
        <f ca="1">sim!M35*100</f>
        <v>2.1955924907171269</v>
      </c>
      <c r="D12" s="24">
        <v>-2.2999999999999998</v>
      </c>
      <c r="E12" s="24" cm="1">
        <f t="array" aca="1" ref="E12" ca="1">SUMPRODUCT(IF($B$5:$B$104&gt;D11,1,0),IF($B$5:$B$104&lt;=D12,1,0))</f>
        <v>0</v>
      </c>
    </row>
    <row r="13" spans="1:5">
      <c r="A13" s="24">
        <v>9</v>
      </c>
      <c r="B13" s="25">
        <f ca="1">sim!M36*100</f>
        <v>1.2940960708868809</v>
      </c>
      <c r="D13" s="24">
        <v>-2.2000000000000002</v>
      </c>
      <c r="E13" s="24" cm="1">
        <f t="array" aca="1" ref="E13" ca="1">SUMPRODUCT(IF($B$5:$B$104&gt;D12,1,0),IF($B$5:$B$104&lt;=D13,1,0))</f>
        <v>0</v>
      </c>
    </row>
    <row r="14" spans="1:5">
      <c r="A14" s="24">
        <v>10</v>
      </c>
      <c r="B14" s="25">
        <f ca="1">sim!M37*100</f>
        <v>3.0975454591484253</v>
      </c>
      <c r="D14" s="24">
        <v>-2.1</v>
      </c>
      <c r="E14" s="24" cm="1">
        <f t="array" aca="1" ref="E14" ca="1">SUMPRODUCT(IF($B$5:$B$104&gt;D13,1,0),IF($B$5:$B$104&lt;=D14,1,0))</f>
        <v>0</v>
      </c>
    </row>
    <row r="15" spans="1:5">
      <c r="A15" s="24">
        <v>11</v>
      </c>
      <c r="B15" s="25">
        <f ca="1">sim!M38*100</f>
        <v>2.5055083197482371</v>
      </c>
      <c r="D15" s="24">
        <v>-2</v>
      </c>
      <c r="E15" s="24" cm="1">
        <f t="array" aca="1" ref="E15" ca="1">SUMPRODUCT(IF($B$5:$B$104&gt;D14,1,0),IF($B$5:$B$104&lt;=D15,1,0))</f>
        <v>0</v>
      </c>
    </row>
    <row r="16" spans="1:5">
      <c r="A16" s="24">
        <v>12</v>
      </c>
      <c r="B16" s="25">
        <f ca="1">sim!M39*100</f>
        <v>1.3024954915655651</v>
      </c>
      <c r="D16" s="24">
        <v>-1.9</v>
      </c>
      <c r="E16" s="24" cm="1">
        <f t="array" aca="1" ref="E16" ca="1">SUMPRODUCT(IF($B$5:$B$104&gt;D15,1,0),IF($B$5:$B$104&lt;=D16,1,0))</f>
        <v>0</v>
      </c>
    </row>
    <row r="17" spans="1:9">
      <c r="A17" s="24">
        <v>13</v>
      </c>
      <c r="B17" s="25">
        <f ca="1">sim!M40*100</f>
        <v>1.8209418064049427</v>
      </c>
      <c r="D17" s="24">
        <v>-1.8</v>
      </c>
      <c r="E17" s="24" cm="1">
        <f t="array" aca="1" ref="E17" ca="1">SUMPRODUCT(IF($B$5:$B$104&gt;D16,1,0),IF($B$5:$B$104&lt;=D17,1,0))</f>
        <v>0</v>
      </c>
    </row>
    <row r="18" spans="1:9">
      <c r="A18" s="24">
        <v>14</v>
      </c>
      <c r="B18" s="25">
        <f ca="1">sim!M41*100</f>
        <v>2.1421648465062271</v>
      </c>
      <c r="D18" s="24">
        <v>-1.7</v>
      </c>
      <c r="E18" s="24" cm="1">
        <f t="array" aca="1" ref="E18" ca="1">SUMPRODUCT(IF($B$5:$B$104&gt;D17,1,0),IF($B$5:$B$104&lt;=D18,1,0))</f>
        <v>0</v>
      </c>
    </row>
    <row r="19" spans="1:9">
      <c r="A19" s="24">
        <v>15</v>
      </c>
      <c r="B19" s="25">
        <f ca="1">sim!M42*100</f>
        <v>2.7455869826578794</v>
      </c>
      <c r="D19" s="24">
        <v>-1.6</v>
      </c>
      <c r="E19" s="24" cm="1">
        <f t="array" aca="1" ref="E19" ca="1">SUMPRODUCT(IF($B$5:$B$104&gt;D18,1,0),IF($B$5:$B$104&lt;=D19,1,0))</f>
        <v>0</v>
      </c>
    </row>
    <row r="20" spans="1:9">
      <c r="A20" s="24">
        <v>16</v>
      </c>
      <c r="B20" s="25">
        <f ca="1">sim!M43*100</f>
        <v>1.8316194898097222</v>
      </c>
      <c r="D20" s="24">
        <v>-1.5</v>
      </c>
      <c r="E20" s="24" cm="1">
        <f t="array" aca="1" ref="E20" ca="1">SUMPRODUCT(IF($B$5:$B$104&gt;D19,1,0),IF($B$5:$B$104&lt;=D20,1,0))</f>
        <v>0</v>
      </c>
    </row>
    <row r="21" spans="1:9">
      <c r="A21" s="24">
        <v>17</v>
      </c>
      <c r="B21" s="25">
        <f ca="1">sim!M44*100</f>
        <v>4.0574159996274277</v>
      </c>
      <c r="D21" s="24">
        <v>-1.4</v>
      </c>
      <c r="E21" s="24" cm="1">
        <f t="array" aca="1" ref="E21" ca="1">SUMPRODUCT(IF($B$5:$B$104&gt;D20,1,0),IF($B$5:$B$104&lt;=D21,1,0))</f>
        <v>0</v>
      </c>
    </row>
    <row r="22" spans="1:9">
      <c r="A22" s="24">
        <v>18</v>
      </c>
      <c r="B22" s="25">
        <f ca="1">sim!M45*100</f>
        <v>2.5782997979172535</v>
      </c>
      <c r="D22" s="24">
        <v>-1.3</v>
      </c>
      <c r="E22" s="24" cm="1">
        <f t="array" aca="1" ref="E22" ca="1">SUMPRODUCT(IF($B$5:$B$104&gt;D21,1,0),IF($B$5:$B$104&lt;=D22,1,0))</f>
        <v>0</v>
      </c>
    </row>
    <row r="23" spans="1:9">
      <c r="A23" s="24">
        <v>19</v>
      </c>
      <c r="B23" s="25">
        <f ca="1">sim!M46*100</f>
        <v>0.57530599597929033</v>
      </c>
      <c r="D23" s="24">
        <v>-1.2</v>
      </c>
      <c r="E23" s="24" cm="1">
        <f t="array" aca="1" ref="E23" ca="1">SUMPRODUCT(IF($B$5:$B$104&gt;D22,1,0),IF($B$5:$B$104&lt;=D23,1,0))</f>
        <v>0</v>
      </c>
    </row>
    <row r="24" spans="1:9">
      <c r="A24" s="24">
        <v>20</v>
      </c>
      <c r="B24" s="25">
        <f ca="1">sim!M47*100</f>
        <v>0.67946744165439321</v>
      </c>
      <c r="D24" s="24">
        <v>-1.1000000000000001</v>
      </c>
      <c r="E24" s="24" cm="1">
        <f t="array" aca="1" ref="E24" ca="1">SUMPRODUCT(IF($B$5:$B$104&gt;D23,1,0),IF($B$5:$B$104&lt;=D24,1,0))</f>
        <v>0</v>
      </c>
    </row>
    <row r="25" spans="1:9">
      <c r="A25" s="24">
        <v>21</v>
      </c>
      <c r="B25" s="25">
        <f ca="1">sim!M48*100</f>
        <v>3.0435662571277833</v>
      </c>
      <c r="D25" s="24">
        <v>-1</v>
      </c>
      <c r="E25" s="24" cm="1">
        <f t="array" aca="1" ref="E25" ca="1">SUMPRODUCT(IF($B$5:$B$104&gt;D24,1,0),IF($B$5:$B$104&lt;=D25,1,0))</f>
        <v>0</v>
      </c>
    </row>
    <row r="26" spans="1:9">
      <c r="A26" s="24">
        <v>22</v>
      </c>
      <c r="B26" s="25">
        <f ca="1">sim!M49*100</f>
        <v>0.87798366308253184</v>
      </c>
      <c r="D26" s="24">
        <v>-0.9</v>
      </c>
      <c r="E26" s="24" cm="1">
        <f t="array" aca="1" ref="E26" ca="1">SUMPRODUCT(IF($B$5:$B$104&gt;D25,1,0),IF($B$5:$B$104&lt;=D26,1,0))</f>
        <v>0</v>
      </c>
    </row>
    <row r="27" spans="1:9">
      <c r="A27" s="24">
        <v>23</v>
      </c>
      <c r="B27" s="25">
        <f ca="1">sim!M50*100</f>
        <v>2.9605551402174255</v>
      </c>
      <c r="D27" s="24">
        <v>-0.8</v>
      </c>
      <c r="E27" s="24" cm="1">
        <f t="array" aca="1" ref="E27" ca="1">SUMPRODUCT(IF($B$5:$B$104&gt;D26,1,0),IF($B$5:$B$104&lt;=D27,1,0))</f>
        <v>0</v>
      </c>
    </row>
    <row r="28" spans="1:9">
      <c r="A28" s="24">
        <v>24</v>
      </c>
      <c r="B28" s="25">
        <f ca="1">sim!M51*100</f>
        <v>1.3275167986323495</v>
      </c>
      <c r="D28" s="24">
        <v>-0.7</v>
      </c>
      <c r="E28" s="24" cm="1">
        <f t="array" aca="1" ref="E28" ca="1">SUMPRODUCT(IF($B$5:$B$104&gt;D27,1,0),IF($B$5:$B$104&lt;=D28,1,0))</f>
        <v>0</v>
      </c>
    </row>
    <row r="29" spans="1:9">
      <c r="A29" s="24">
        <v>25</v>
      </c>
      <c r="B29" s="25">
        <f ca="1">sim!M52*100</f>
        <v>1.5618071944672856</v>
      </c>
      <c r="D29" s="24">
        <v>-0.6</v>
      </c>
      <c r="E29" s="24" cm="1">
        <f t="array" aca="1" ref="E29" ca="1">SUMPRODUCT(IF($B$5:$B$104&gt;D28,1,0),IF($B$5:$B$104&lt;=D29,1,0))</f>
        <v>1</v>
      </c>
    </row>
    <row r="30" spans="1:9">
      <c r="A30" s="24">
        <v>26</v>
      </c>
      <c r="B30" s="25">
        <f ca="1">sim!M53*100</f>
        <v>2.2854693556448389</v>
      </c>
      <c r="D30" s="24">
        <v>-0.5</v>
      </c>
      <c r="E30" s="24" cm="1">
        <f t="array" aca="1" ref="E30" ca="1">SUMPRODUCT(IF($B$5:$B$104&gt;D29,1,0),IF($B$5:$B$104&lt;=D30,1,0))</f>
        <v>0</v>
      </c>
      <c r="I30" s="24" t="s">
        <v>16</v>
      </c>
    </row>
    <row r="31" spans="1:9">
      <c r="A31" s="24">
        <v>27</v>
      </c>
      <c r="B31" s="25">
        <f ca="1">sim!M54*100</f>
        <v>1.8609375241841666</v>
      </c>
      <c r="D31" s="24">
        <v>-0.4</v>
      </c>
      <c r="E31" s="24" cm="1">
        <f t="array" aca="1" ref="E31" ca="1">SUMPRODUCT(IF($B$5:$B$104&gt;D30,1,0),IF($B$5:$B$104&lt;=D31,1,0))</f>
        <v>0</v>
      </c>
    </row>
    <row r="32" spans="1:9">
      <c r="A32" s="24">
        <v>28</v>
      </c>
      <c r="B32" s="25">
        <f ca="1">sim!M55*100</f>
        <v>1.8715544463032026</v>
      </c>
      <c r="D32" s="24">
        <v>-0.3</v>
      </c>
      <c r="E32" s="24" cm="1">
        <f t="array" aca="1" ref="E32" ca="1">SUMPRODUCT(IF($B$5:$B$104&gt;D31,1,0),IF($B$5:$B$104&lt;=D32,1,0))</f>
        <v>0</v>
      </c>
    </row>
    <row r="33" spans="1:5">
      <c r="A33" s="24">
        <v>29</v>
      </c>
      <c r="B33" s="25">
        <f ca="1">sim!M56*100</f>
        <v>0.63479478847319437</v>
      </c>
      <c r="D33" s="24">
        <v>-0.2</v>
      </c>
      <c r="E33" s="24" cm="1">
        <f t="array" aca="1" ref="E33" ca="1">SUMPRODUCT(IF($B$5:$B$104&gt;D32,1,0),IF($B$5:$B$104&lt;=D33,1,0))</f>
        <v>0</v>
      </c>
    </row>
    <row r="34" spans="1:5">
      <c r="A34" s="24">
        <v>30</v>
      </c>
      <c r="B34" s="25">
        <f ca="1">sim!M57*100</f>
        <v>1.5447574614636128</v>
      </c>
      <c r="D34" s="24">
        <v>-0.1</v>
      </c>
      <c r="E34" s="24" cm="1">
        <f t="array" aca="1" ref="E34" ca="1">SUMPRODUCT(IF($B$5:$B$104&gt;D33,1,0),IF($B$5:$B$104&lt;=D34,1,0))</f>
        <v>0</v>
      </c>
    </row>
    <row r="35" spans="1:5">
      <c r="A35" s="24">
        <v>31</v>
      </c>
      <c r="B35" s="25">
        <f ca="1">sim!M58*100</f>
        <v>4.0956042971616107</v>
      </c>
      <c r="D35" s="24">
        <v>0</v>
      </c>
      <c r="E35" s="24" cm="1">
        <f t="array" aca="1" ref="E35" ca="1">SUMPRODUCT(IF($B$5:$B$104&gt;D34,1,0),IF($B$5:$B$104&lt;=D35,1,0))</f>
        <v>2</v>
      </c>
    </row>
    <row r="36" spans="1:5">
      <c r="A36" s="24">
        <v>32</v>
      </c>
      <c r="B36" s="25">
        <f ca="1">sim!M59*100</f>
        <v>2.1995276797862546</v>
      </c>
      <c r="D36" s="24">
        <v>0.1</v>
      </c>
      <c r="E36" s="24" cm="1">
        <f t="array" aca="1" ref="E36" ca="1">SUMPRODUCT(IF($B$5:$B$104&gt;D35,1,0),IF($B$5:$B$104&lt;=D36,1,0))</f>
        <v>1</v>
      </c>
    </row>
    <row r="37" spans="1:5">
      <c r="A37" s="24">
        <v>33</v>
      </c>
      <c r="B37" s="25">
        <f ca="1">sim!M60*100</f>
        <v>3.587907621633363</v>
      </c>
      <c r="D37" s="24">
        <v>0.2</v>
      </c>
      <c r="E37" s="24" cm="1">
        <f t="array" aca="1" ref="E37" ca="1">SUMPRODUCT(IF($B$5:$B$104&gt;D36,1,0),IF($B$5:$B$104&lt;=D37,1,0))</f>
        <v>1</v>
      </c>
    </row>
    <row r="38" spans="1:5">
      <c r="A38" s="24">
        <v>34</v>
      </c>
      <c r="B38" s="25">
        <f ca="1">sim!M61*100</f>
        <v>3.077331214194337</v>
      </c>
      <c r="D38" s="24">
        <v>0.3</v>
      </c>
      <c r="E38" s="24" cm="1">
        <f t="array" aca="1" ref="E38" ca="1">SUMPRODUCT(IF($B$5:$B$104&gt;D37,1,0),IF($B$5:$B$104&lt;=D38,1,0))</f>
        <v>2</v>
      </c>
    </row>
    <row r="39" spans="1:5">
      <c r="A39" s="24">
        <v>35</v>
      </c>
      <c r="B39" s="25">
        <f ca="1">sim!M62*100</f>
        <v>1.9509560792697789</v>
      </c>
      <c r="D39" s="24">
        <v>0.4</v>
      </c>
      <c r="E39" s="24" cm="1">
        <f t="array" aca="1" ref="E39" ca="1">SUMPRODUCT(IF($B$5:$B$104&gt;D38,1,0),IF($B$5:$B$104&lt;=D39,1,0))</f>
        <v>1</v>
      </c>
    </row>
    <row r="40" spans="1:5">
      <c r="A40" s="24">
        <v>36</v>
      </c>
      <c r="B40" s="25">
        <f ca="1">sim!M63*100</f>
        <v>2.9874697229708036</v>
      </c>
      <c r="D40" s="24">
        <v>0.5</v>
      </c>
      <c r="E40" s="24" cm="1">
        <f t="array" aca="1" ref="E40" ca="1">SUMPRODUCT(IF($B$5:$B$104&gt;D39,1,0),IF($B$5:$B$104&lt;=D40,1,0))</f>
        <v>2</v>
      </c>
    </row>
    <row r="41" spans="1:5">
      <c r="A41" s="24">
        <v>37</v>
      </c>
      <c r="B41" s="25">
        <f ca="1">sim!M64*100</f>
        <v>2.5142092182603757</v>
      </c>
      <c r="D41" s="24">
        <v>0.6</v>
      </c>
      <c r="E41" s="24" cm="1">
        <f t="array" aca="1" ref="E41" ca="1">SUMPRODUCT(IF($B$5:$B$104&gt;D40,1,0),IF($B$5:$B$104&lt;=D41,1,0))</f>
        <v>3</v>
      </c>
    </row>
    <row r="42" spans="1:5">
      <c r="A42" s="24">
        <v>38</v>
      </c>
      <c r="B42" s="25">
        <f ca="1">sim!M65*100</f>
        <v>1.8397379568773791</v>
      </c>
      <c r="D42" s="24">
        <v>0.7</v>
      </c>
      <c r="E42" s="24" cm="1">
        <f t="array" aca="1" ref="E42" ca="1">SUMPRODUCT(IF($B$5:$B$104&gt;D41,1,0),IF($B$5:$B$104&lt;=D42,1,0))</f>
        <v>5</v>
      </c>
    </row>
    <row r="43" spans="1:5">
      <c r="A43" s="24">
        <v>39</v>
      </c>
      <c r="B43" s="25">
        <f ca="1">sim!M66*100</f>
        <v>1.3752381906495033</v>
      </c>
      <c r="D43" s="24">
        <v>0.8</v>
      </c>
      <c r="E43" s="24" cm="1">
        <f t="array" aca="1" ref="E43" ca="1">SUMPRODUCT(IF($B$5:$B$104&gt;D42,1,0),IF($B$5:$B$104&lt;=D43,1,0))</f>
        <v>2</v>
      </c>
    </row>
    <row r="44" spans="1:5">
      <c r="A44" s="24">
        <v>40</v>
      </c>
      <c r="B44" s="25">
        <f ca="1">sim!M67*100</f>
        <v>1.5352478539196395</v>
      </c>
      <c r="D44" s="24">
        <v>0.9</v>
      </c>
      <c r="E44" s="24" cm="1">
        <f t="array" aca="1" ref="E44" ca="1">SUMPRODUCT(IF($B$5:$B$104&gt;D43,1,0),IF($B$5:$B$104&lt;=D44,1,0))</f>
        <v>2</v>
      </c>
    </row>
    <row r="45" spans="1:5">
      <c r="A45" s="24">
        <v>41</v>
      </c>
      <c r="B45" s="25">
        <f ca="1">sim!M68*100</f>
        <v>2.9701303883021843</v>
      </c>
      <c r="D45" s="24">
        <v>1</v>
      </c>
      <c r="E45" s="24" cm="1">
        <f t="array" aca="1" ref="E45" ca="1">SUMPRODUCT(IF($B$5:$B$104&gt;D44,1,0),IF($B$5:$B$104&lt;=D45,1,0))</f>
        <v>2</v>
      </c>
    </row>
    <row r="46" spans="1:5">
      <c r="A46" s="24">
        <v>42</v>
      </c>
      <c r="B46" s="25">
        <f ca="1">sim!M69*100</f>
        <v>1.6390556898450541</v>
      </c>
      <c r="D46" s="24">
        <v>1.1000000000000001</v>
      </c>
      <c r="E46" s="24" cm="1">
        <f t="array" aca="1" ref="E46" ca="1">SUMPRODUCT(IF($B$5:$B$104&gt;D45,1,0),IF($B$5:$B$104&lt;=D46,1,0))</f>
        <v>2</v>
      </c>
    </row>
    <row r="47" spans="1:5">
      <c r="A47" s="24">
        <v>43</v>
      </c>
      <c r="B47" s="25">
        <f ca="1">sim!M70*100</f>
        <v>3.1770819779906061</v>
      </c>
      <c r="D47" s="24">
        <v>1.2</v>
      </c>
      <c r="E47" s="24" cm="1">
        <f t="array" aca="1" ref="E47" ca="1">SUMPRODUCT(IF($B$5:$B$104&gt;D46,1,0),IF($B$5:$B$104&lt;=D47,1,0))</f>
        <v>1</v>
      </c>
    </row>
    <row r="48" spans="1:5">
      <c r="A48" s="24">
        <v>44</v>
      </c>
      <c r="B48" s="25">
        <f ca="1">sim!M71*100</f>
        <v>3.2074146811868474</v>
      </c>
      <c r="D48" s="24">
        <v>1.3</v>
      </c>
      <c r="E48" s="24" cm="1">
        <f t="array" aca="1" ref="E48" ca="1">SUMPRODUCT(IF($B$5:$B$104&gt;D47,1,0),IF($B$5:$B$104&lt;=D48,1,0))</f>
        <v>4</v>
      </c>
    </row>
    <row r="49" spans="1:5">
      <c r="A49" s="24">
        <v>45</v>
      </c>
      <c r="B49" s="25">
        <f ca="1">sim!M72*100</f>
        <v>2.3273663175112014</v>
      </c>
      <c r="D49" s="24">
        <v>1.4</v>
      </c>
      <c r="E49" s="24" cm="1">
        <f t="array" aca="1" ref="E49" ca="1">SUMPRODUCT(IF($B$5:$B$104&gt;D48,1,0),IF($B$5:$B$104&lt;=D49,1,0))</f>
        <v>4</v>
      </c>
    </row>
    <row r="50" spans="1:5">
      <c r="A50" s="24">
        <v>46</v>
      </c>
      <c r="B50" s="25">
        <f ca="1">sim!M73*100</f>
        <v>1.2169918027052029</v>
      </c>
      <c r="D50" s="24">
        <v>1.5</v>
      </c>
      <c r="E50" s="24" cm="1">
        <f t="array" aca="1" ref="E50" ca="1">SUMPRODUCT(IF($B$5:$B$104&gt;D49,1,0),IF($B$5:$B$104&lt;=D50,1,0))</f>
        <v>2</v>
      </c>
    </row>
    <row r="51" spans="1:5">
      <c r="A51" s="24">
        <v>47</v>
      </c>
      <c r="B51" s="25">
        <f ca="1">sim!M74*100</f>
        <v>1.1050735451748621</v>
      </c>
      <c r="D51" s="24">
        <v>1.6</v>
      </c>
      <c r="E51" s="24" cm="1">
        <f t="array" aca="1" ref="E51" ca="1">SUMPRODUCT(IF($B$5:$B$104&gt;D50,1,0),IF($B$5:$B$104&lt;=D51,1,0))</f>
        <v>3</v>
      </c>
    </row>
    <row r="52" spans="1:5">
      <c r="A52" s="24">
        <v>48</v>
      </c>
      <c r="B52" s="25">
        <f ca="1">sim!M75*100</f>
        <v>3.191788901328291</v>
      </c>
      <c r="D52" s="24">
        <v>1.7</v>
      </c>
      <c r="E52" s="24" cm="1">
        <f t="array" aca="1" ref="E52" ca="1">SUMPRODUCT(IF($B$5:$B$104&gt;D51,1,0),IF($B$5:$B$104&lt;=D52,1,0))</f>
        <v>2</v>
      </c>
    </row>
    <row r="53" spans="1:5">
      <c r="A53" s="24">
        <v>49</v>
      </c>
      <c r="B53" s="25">
        <f ca="1">sim!M76*100</f>
        <v>0.4437346149708194</v>
      </c>
      <c r="D53" s="24">
        <v>1.8</v>
      </c>
      <c r="E53" s="24" cm="1">
        <f t="array" aca="1" ref="E53" ca="1">SUMPRODUCT(IF($B$5:$B$104&gt;D52,1,0),IF($B$5:$B$104&lt;=D53,1,0))</f>
        <v>2</v>
      </c>
    </row>
    <row r="54" spans="1:5">
      <c r="A54" s="24">
        <v>50</v>
      </c>
      <c r="B54" s="25">
        <f ca="1">sim!M77*100</f>
        <v>1.0059018945283356</v>
      </c>
      <c r="D54" s="24">
        <v>1.9</v>
      </c>
      <c r="E54" s="24" cm="1">
        <f t="array" aca="1" ref="E54" ca="1">SUMPRODUCT(IF($B$5:$B$104&gt;D53,1,0),IF($B$5:$B$104&lt;=D54,1,0))</f>
        <v>7</v>
      </c>
    </row>
    <row r="55" spans="1:5">
      <c r="A55" s="24">
        <v>51</v>
      </c>
      <c r="B55" s="25">
        <f ca="1">sim!M78*100</f>
        <v>0.11271138569255677</v>
      </c>
      <c r="D55" s="24">
        <v>2</v>
      </c>
      <c r="E55" s="24" cm="1">
        <f t="array" aca="1" ref="E55" ca="1">SUMPRODUCT(IF($B$5:$B$104&gt;D54,1,0),IF($B$5:$B$104&lt;=D55,1,0))</f>
        <v>3</v>
      </c>
    </row>
    <row r="56" spans="1:5">
      <c r="A56" s="24">
        <v>52</v>
      </c>
      <c r="B56" s="25">
        <f ca="1">sim!M79*100</f>
        <v>3.2004673364266392</v>
      </c>
      <c r="D56" s="24">
        <v>2.1</v>
      </c>
      <c r="E56" s="24" cm="1">
        <f t="array" aca="1" ref="E56" ca="1">SUMPRODUCT(IF($B$5:$B$104&gt;D55,1,0),IF($B$5:$B$104&lt;=D56,1,0))</f>
        <v>1</v>
      </c>
    </row>
    <row r="57" spans="1:5">
      <c r="A57" s="24">
        <v>53</v>
      </c>
      <c r="B57" s="25">
        <f ca="1">sim!M80*100</f>
        <v>2.3691546742890806</v>
      </c>
      <c r="D57" s="24">
        <v>2.2000000000000002</v>
      </c>
      <c r="E57" s="24" cm="1">
        <f t="array" aca="1" ref="E57" ca="1">SUMPRODUCT(IF($B$5:$B$104&gt;D56,1,0),IF($B$5:$B$104&lt;=D57,1,0))</f>
        <v>4</v>
      </c>
    </row>
    <row r="58" spans="1:5">
      <c r="A58" s="24">
        <v>54</v>
      </c>
      <c r="B58" s="25">
        <f ca="1">sim!M81*100</f>
        <v>1.6549766343811045</v>
      </c>
      <c r="D58" s="24">
        <v>2.2999999999999998</v>
      </c>
      <c r="E58" s="24" cm="1">
        <f t="array" aca="1" ref="E58" ca="1">SUMPRODUCT(IF($B$5:$B$104&gt;D57,1,0),IF($B$5:$B$104&lt;=D58,1,0))</f>
        <v>3</v>
      </c>
    </row>
    <row r="59" spans="1:5">
      <c r="A59" s="24">
        <v>55</v>
      </c>
      <c r="B59" s="25">
        <f ca="1">sim!M82*100</f>
        <v>2.984894796186393</v>
      </c>
      <c r="D59" s="24">
        <v>2.4</v>
      </c>
      <c r="E59" s="24" cm="1">
        <f t="array" aca="1" ref="E59" ca="1">SUMPRODUCT(IF($B$5:$B$104&gt;D58,1,0),IF($B$5:$B$104&lt;=D59,1,0))</f>
        <v>3</v>
      </c>
    </row>
    <row r="60" spans="1:5">
      <c r="A60" s="24">
        <v>56</v>
      </c>
      <c r="B60" s="25">
        <f ca="1">sim!M83*100</f>
        <v>2.0626482362023975</v>
      </c>
      <c r="D60" s="24">
        <v>2.5000000000000102</v>
      </c>
      <c r="E60" s="24" cm="1">
        <f t="array" aca="1" ref="E60" ca="1">SUMPRODUCT(IF($B$5:$B$104&gt;D59,1,0),IF($B$5:$B$104&lt;=D60,1,0))</f>
        <v>2</v>
      </c>
    </row>
    <row r="61" spans="1:5">
      <c r="A61" s="24">
        <v>57</v>
      </c>
      <c r="B61" s="25">
        <f ca="1">sim!M84*100</f>
        <v>1.3115252932732282</v>
      </c>
      <c r="D61" s="24">
        <v>2.6</v>
      </c>
      <c r="E61" s="24" cm="1">
        <f t="array" aca="1" ref="E61" ca="1">SUMPRODUCT(IF($B$5:$B$104&gt;D60,1,0),IF($B$5:$B$104&lt;=D61,1,0))</f>
        <v>5</v>
      </c>
    </row>
    <row r="62" spans="1:5">
      <c r="A62" s="24">
        <v>58</v>
      </c>
      <c r="B62" s="25">
        <f ca="1">sim!M85*100</f>
        <v>2.9531152636253859</v>
      </c>
      <c r="D62" s="24">
        <v>2.7</v>
      </c>
      <c r="E62" s="24" cm="1">
        <f t="array" aca="1" ref="E62" ca="1">SUMPRODUCT(IF($B$5:$B$104&gt;D61,1,0),IF($B$5:$B$104&lt;=D62,1,0))</f>
        <v>2</v>
      </c>
    </row>
    <row r="63" spans="1:5">
      <c r="A63" s="24">
        <v>59</v>
      </c>
      <c r="B63" s="25">
        <f ca="1">sim!M86*100</f>
        <v>4.1086988957864667</v>
      </c>
      <c r="D63" s="24">
        <v>2.80000000000001</v>
      </c>
      <c r="E63" s="24" cm="1">
        <f t="array" aca="1" ref="E63" ca="1">SUMPRODUCT(IF($B$5:$B$104&gt;D62,1,0),IF($B$5:$B$104&lt;=D63,1,0))</f>
        <v>1</v>
      </c>
    </row>
    <row r="64" spans="1:5">
      <c r="A64" s="24">
        <v>60</v>
      </c>
      <c r="B64" s="25">
        <f ca="1">sim!M87*100</f>
        <v>2.4022369115317779</v>
      </c>
      <c r="D64" s="24">
        <v>2.9000000000000101</v>
      </c>
      <c r="E64" s="24" cm="1">
        <f t="array" aca="1" ref="E64" ca="1">SUMPRODUCT(IF($B$5:$B$104&gt;D63,1,0),IF($B$5:$B$104&lt;=D64,1,0))</f>
        <v>0</v>
      </c>
    </row>
    <row r="65" spans="1:5">
      <c r="A65" s="24">
        <v>61</v>
      </c>
      <c r="B65" s="25">
        <f ca="1">sim!M88*100</f>
        <v>0.59482690338134003</v>
      </c>
      <c r="D65" s="24">
        <v>3.0000000000000102</v>
      </c>
      <c r="E65" s="24" cm="1">
        <f t="array" aca="1" ref="E65" ca="1">SUMPRODUCT(IF($B$5:$B$104&gt;D64,1,0),IF($B$5:$B$104&lt;=D65,1,0))</f>
        <v>6</v>
      </c>
    </row>
    <row r="66" spans="1:5">
      <c r="A66" s="24">
        <v>62</v>
      </c>
      <c r="B66" s="25">
        <f ca="1">sim!M89*100</f>
        <v>3.4004484705375586</v>
      </c>
      <c r="D66" s="24">
        <v>3.1</v>
      </c>
      <c r="E66" s="24" cm="1">
        <f t="array" aca="1" ref="E66" ca="1">SUMPRODUCT(IF($B$5:$B$104&gt;D65,1,0),IF($B$5:$B$104&lt;=D66,1,0))</f>
        <v>4</v>
      </c>
    </row>
    <row r="67" spans="1:5">
      <c r="A67" s="24">
        <v>63</v>
      </c>
      <c r="B67" s="25">
        <f ca="1">sim!M90*100</f>
        <v>0.34570244781569404</v>
      </c>
      <c r="D67" s="24">
        <v>3.2000000000000099</v>
      </c>
      <c r="E67" s="24" cm="1">
        <f t="array" aca="1" ref="E67" ca="1">SUMPRODUCT(IF($B$5:$B$104&gt;D66,1,0),IF($B$5:$B$104&lt;=D67,1,0))</f>
        <v>3</v>
      </c>
    </row>
    <row r="68" spans="1:5">
      <c r="A68" s="24">
        <v>64</v>
      </c>
      <c r="B68" s="25">
        <f ca="1">sim!M91*100</f>
        <v>2.5132978434943807</v>
      </c>
      <c r="D68" s="24">
        <v>3.30000000000001</v>
      </c>
      <c r="E68" s="24" cm="1">
        <f t="array" aca="1" ref="E68" ca="1">SUMPRODUCT(IF($B$5:$B$104&gt;D67,1,0),IF($B$5:$B$104&lt;=D68,1,0))</f>
        <v>2</v>
      </c>
    </row>
    <row r="69" spans="1:5">
      <c r="A69" s="24">
        <v>65</v>
      </c>
      <c r="B69" s="25">
        <f ca="1">sim!M92*100</f>
        <v>1.2551181454794689</v>
      </c>
      <c r="D69" s="24">
        <v>3.4000000000000101</v>
      </c>
      <c r="E69" s="24" cm="1">
        <f t="array" aca="1" ref="E69" ca="1">SUMPRODUCT(IF($B$5:$B$104&gt;D68,1,0),IF($B$5:$B$104&lt;=D69,1,0))</f>
        <v>2</v>
      </c>
    </row>
    <row r="70" spans="1:5">
      <c r="A70" s="24">
        <v>66</v>
      </c>
      <c r="B70" s="25">
        <f ca="1">sim!M93*100</f>
        <v>1.0594811554310382</v>
      </c>
      <c r="D70" s="24">
        <v>3.5000000000000102</v>
      </c>
      <c r="E70" s="24" cm="1">
        <f t="array" aca="1" ref="E70" ca="1">SUMPRODUCT(IF($B$5:$B$104&gt;D69,1,0),IF($B$5:$B$104&lt;=D70,1,0))</f>
        <v>2</v>
      </c>
    </row>
    <row r="71" spans="1:5">
      <c r="A71" s="24">
        <v>67</v>
      </c>
      <c r="B71" s="25">
        <f ca="1">sim!M94*100</f>
        <v>0.63940596774555059</v>
      </c>
      <c r="D71" s="24">
        <v>3.6000000000000099</v>
      </c>
      <c r="E71" s="24" cm="1">
        <f t="array" aca="1" ref="E71" ca="1">SUMPRODUCT(IF($B$5:$B$104&gt;D70,1,0),IF($B$5:$B$104&lt;=D71,1,0))</f>
        <v>1</v>
      </c>
    </row>
    <row r="72" spans="1:5">
      <c r="A72" s="24">
        <v>68</v>
      </c>
      <c r="B72" s="25">
        <f ca="1">sim!M95*100</f>
        <v>3.3155489003585705</v>
      </c>
      <c r="D72" s="24">
        <v>3.7000000000000099</v>
      </c>
      <c r="E72" s="24" cm="1">
        <f t="array" aca="1" ref="E72" ca="1">SUMPRODUCT(IF($B$5:$B$104&gt;D71,1,0),IF($B$5:$B$104&lt;=D72,1,0))</f>
        <v>1</v>
      </c>
    </row>
    <row r="73" spans="1:5">
      <c r="A73" s="24">
        <v>69</v>
      </c>
      <c r="B73" s="25">
        <f ca="1">sim!M96*100</f>
        <v>2.9060222011583772</v>
      </c>
      <c r="D73" s="24">
        <v>3.80000000000001</v>
      </c>
      <c r="E73" s="24" cm="1">
        <f t="array" aca="1" ref="E73" ca="1">SUMPRODUCT(IF($B$5:$B$104&gt;D72,1,0),IF($B$5:$B$104&lt;=D73,1,0))</f>
        <v>0</v>
      </c>
    </row>
    <row r="74" spans="1:5">
      <c r="A74" s="24">
        <v>70</v>
      </c>
      <c r="B74" s="25">
        <f ca="1">sim!M97*100</f>
        <v>0.7336977003350913</v>
      </c>
      <c r="D74" s="24">
        <v>3.9000000000000101</v>
      </c>
      <c r="E74" s="24" cm="1">
        <f t="array" aca="1" ref="E74" ca="1">SUMPRODUCT(IF($B$5:$B$104&gt;D73,1,0),IF($B$5:$B$104&lt;=D74,1,0))</f>
        <v>0</v>
      </c>
    </row>
    <row r="75" spans="1:5">
      <c r="A75" s="24">
        <v>71</v>
      </c>
      <c r="B75" s="25">
        <f ca="1">sim!M98*100</f>
        <v>1.8868977367460318</v>
      </c>
      <c r="D75" s="24">
        <v>4.0000000000000098</v>
      </c>
      <c r="E75" s="24" cm="1">
        <f t="array" aca="1" ref="E75" ca="1">SUMPRODUCT(IF($B$5:$B$104&gt;D74,1,0),IF($B$5:$B$104&lt;=D75,1,0))</f>
        <v>0</v>
      </c>
    </row>
    <row r="76" spans="1:5">
      <c r="A76" s="24">
        <v>72</v>
      </c>
      <c r="B76" s="25">
        <f ca="1">sim!M99*100</f>
        <v>1.4878200876725307</v>
      </c>
      <c r="D76" s="24">
        <v>4.1000000000000103</v>
      </c>
      <c r="E76" s="24" cm="1">
        <f t="array" aca="1" ref="E76" ca="1">SUMPRODUCT(IF($B$5:$B$104&gt;D75,1,0),IF($B$5:$B$104&lt;=D76,1,0))</f>
        <v>2</v>
      </c>
    </row>
    <row r="77" spans="1:5">
      <c r="A77" s="24">
        <v>73</v>
      </c>
      <c r="B77" s="25">
        <f ca="1">sim!M100*100</f>
        <v>1.9048786974596998</v>
      </c>
      <c r="D77" s="24">
        <v>4.2000000000000099</v>
      </c>
      <c r="E77" s="24" cm="1">
        <f t="array" aca="1" ref="E77" ca="1">SUMPRODUCT(IF($B$5:$B$104&gt;D76,1,0),IF($B$5:$B$104&lt;=D77,1,0))</f>
        <v>1</v>
      </c>
    </row>
    <row r="78" spans="1:5">
      <c r="A78" s="24">
        <v>74</v>
      </c>
      <c r="B78" s="25">
        <f ca="1">sim!M101*100</f>
        <v>3.1846140941389613</v>
      </c>
      <c r="D78" s="24">
        <v>4.3000000000000096</v>
      </c>
      <c r="E78" s="24" cm="1">
        <f t="array" aca="1" ref="E78" ca="1">SUMPRODUCT(IF($B$5:$B$104&gt;D77,1,0),IF($B$5:$B$104&lt;=D78,1,0))</f>
        <v>0</v>
      </c>
    </row>
    <row r="79" spans="1:5">
      <c r="A79" s="24">
        <v>75</v>
      </c>
      <c r="B79" s="25">
        <f ca="1">sim!M102*100</f>
        <v>0.55674849819875116</v>
      </c>
      <c r="D79" s="24">
        <v>4.4000000000000101</v>
      </c>
      <c r="E79" s="24" cm="1">
        <f t="array" aca="1" ref="E79" ca="1">SUMPRODUCT(IF($B$5:$B$104&gt;D78,1,0),IF($B$5:$B$104&lt;=D79,1,0))</f>
        <v>0</v>
      </c>
    </row>
    <row r="80" spans="1:5">
      <c r="A80" s="24">
        <v>76</v>
      </c>
      <c r="B80" s="25">
        <f ca="1">sim!M103*100</f>
        <v>0.20039062554340104</v>
      </c>
      <c r="D80" s="24">
        <v>4.5000000000000098</v>
      </c>
      <c r="E80" s="24" cm="1">
        <f t="array" aca="1" ref="E80" ca="1">SUMPRODUCT(IF($B$5:$B$104&gt;D79,1,0),IF($B$5:$B$104&lt;=D80,1,0))</f>
        <v>1</v>
      </c>
    </row>
    <row r="81" spans="1:5">
      <c r="A81" s="24">
        <v>77</v>
      </c>
      <c r="B81" s="25">
        <f ca="1">sim!M104*100</f>
        <v>1.7685557752610548</v>
      </c>
      <c r="D81" s="24">
        <v>4.6000000000000103</v>
      </c>
      <c r="E81" s="24" cm="1">
        <f t="array" aca="1" ref="E81" ca="1">SUMPRODUCT(IF($B$5:$B$104&gt;D80,1,0),IF($B$5:$B$104&lt;=D81,1,0))</f>
        <v>0</v>
      </c>
    </row>
    <row r="82" spans="1:5">
      <c r="A82" s="24">
        <v>78</v>
      </c>
      <c r="B82" s="25">
        <f ca="1">sim!M105*100</f>
        <v>2.3340913323550789</v>
      </c>
      <c r="D82" s="24">
        <v>4.7000000000000099</v>
      </c>
      <c r="E82" s="24" cm="1">
        <f t="array" aca="1" ref="E82" ca="1">SUMPRODUCT(IF($B$5:$B$104&gt;D81,1,0),IF($B$5:$B$104&lt;=D82,1,0))</f>
        <v>0</v>
      </c>
    </row>
    <row r="83" spans="1:5">
      <c r="A83" s="24">
        <v>79</v>
      </c>
      <c r="B83" s="25">
        <f ca="1">sim!M106*100</f>
        <v>2.2109078237795785</v>
      </c>
      <c r="D83" s="24">
        <v>4.8000000000000096</v>
      </c>
      <c r="E83" s="24" cm="1">
        <f t="array" aca="1" ref="E83" ca="1">SUMPRODUCT(IF($B$5:$B$104&gt;D82,1,0),IF($B$5:$B$104&lt;=D83,1,0))</f>
        <v>0</v>
      </c>
    </row>
    <row r="84" spans="1:5">
      <c r="A84" s="24">
        <v>80</v>
      </c>
      <c r="B84" s="25">
        <f ca="1">sim!M107*100</f>
        <v>1.7528552187317514</v>
      </c>
      <c r="D84" s="24">
        <v>4.9000000000000101</v>
      </c>
      <c r="E84" s="24" cm="1">
        <f t="array" aca="1" ref="E84" ca="1">SUMPRODUCT(IF($B$5:$B$104&gt;D83,1,0),IF($B$5:$B$104&lt;=D84,1,0))</f>
        <v>0</v>
      </c>
    </row>
    <row r="85" spans="1:5">
      <c r="A85" s="24">
        <v>81</v>
      </c>
      <c r="B85" s="25">
        <f ca="1">sim!M108*100</f>
        <v>0.62850443228944874</v>
      </c>
      <c r="D85" s="24">
        <v>5.0000000000000098</v>
      </c>
      <c r="E85" s="24" cm="1">
        <f t="array" aca="1" ref="E85" ca="1">SUMPRODUCT(IF($B$5:$B$104&gt;D84,1,0),IF($B$5:$B$104&lt;=D85,1,0))</f>
        <v>0</v>
      </c>
    </row>
    <row r="86" spans="1:5">
      <c r="A86" s="24">
        <v>82</v>
      </c>
      <c r="B86" s="25">
        <f ca="1">sim!M109*100</f>
        <v>3.4336944167778602</v>
      </c>
      <c r="D86" s="24">
        <v>100</v>
      </c>
      <c r="E86" s="24" cm="1">
        <f t="array" aca="1" ref="E86" ca="1">SUMPRODUCT(IF($B$5:$B$104&gt;D85,1,0),IF($B$5:$B$104&lt;=D86,1,0))</f>
        <v>0</v>
      </c>
    </row>
    <row r="87" spans="1:5">
      <c r="A87" s="24">
        <v>83</v>
      </c>
      <c r="B87" s="25">
        <f ca="1">sim!M110*100</f>
        <v>3.6996377775917875</v>
      </c>
    </row>
    <row r="88" spans="1:5">
      <c r="A88" s="24">
        <v>84</v>
      </c>
      <c r="B88" s="25">
        <f ca="1">sim!M111*100</f>
        <v>3.3905772452643381</v>
      </c>
    </row>
    <row r="89" spans="1:5">
      <c r="A89" s="24">
        <v>85</v>
      </c>
      <c r="B89" s="25">
        <f ca="1">sim!M112*100</f>
        <v>1.2804103029535563</v>
      </c>
    </row>
    <row r="90" spans="1:5">
      <c r="A90" s="24">
        <v>86</v>
      </c>
      <c r="B90" s="25">
        <f ca="1">sim!M113*100</f>
        <v>0.63818867932391343</v>
      </c>
    </row>
    <row r="91" spans="1:5">
      <c r="A91" s="24">
        <v>87</v>
      </c>
      <c r="B91" s="25">
        <f ca="1">sim!M114*100</f>
        <v>2.6407139366650538</v>
      </c>
    </row>
    <row r="92" spans="1:5">
      <c r="A92" s="24">
        <v>88</v>
      </c>
      <c r="B92" s="25">
        <f ca="1">sim!M115*100</f>
        <v>2.4173528102157809</v>
      </c>
    </row>
    <row r="93" spans="1:5">
      <c r="A93" s="24">
        <v>89</v>
      </c>
      <c r="B93" s="25">
        <f ca="1">sim!M116*100</f>
        <v>1.9961518948046222</v>
      </c>
    </row>
    <row r="94" spans="1:5">
      <c r="A94" s="24">
        <v>90</v>
      </c>
      <c r="B94" s="25">
        <f ca="1">sim!M117*100</f>
        <v>0.9563599526459774</v>
      </c>
    </row>
    <row r="95" spans="1:5">
      <c r="A95" s="24">
        <v>91</v>
      </c>
      <c r="B95" s="25">
        <f ca="1">sim!M118*100</f>
        <v>3.0033916753964349</v>
      </c>
    </row>
    <row r="96" spans="1:5">
      <c r="A96" s="24">
        <v>92</v>
      </c>
      <c r="B96" s="25">
        <f ca="1">sim!M119*100</f>
        <v>0.45277430869305207</v>
      </c>
    </row>
    <row r="97" spans="1:2">
      <c r="A97" s="24">
        <v>93</v>
      </c>
      <c r="B97" s="25">
        <f ca="1">sim!M120*100</f>
        <v>1.4144994493751664</v>
      </c>
    </row>
    <row r="98" spans="1:2">
      <c r="A98" s="24">
        <v>94</v>
      </c>
      <c r="B98" s="25">
        <f ca="1">sim!M121*100</f>
        <v>-2.7834559663876546E-2</v>
      </c>
    </row>
    <row r="99" spans="1:2">
      <c r="A99" s="24">
        <v>95</v>
      </c>
      <c r="B99" s="25">
        <f ca="1">sim!M122*100</f>
        <v>2.5878635062220741</v>
      </c>
    </row>
    <row r="100" spans="1:2">
      <c r="A100" s="24">
        <v>96</v>
      </c>
      <c r="B100" s="25">
        <f ca="1">sim!M123*100</f>
        <v>0.80741024054416854</v>
      </c>
    </row>
    <row r="101" spans="1:2">
      <c r="A101" s="24">
        <v>97</v>
      </c>
      <c r="B101" s="25">
        <f ca="1">sim!M124*100</f>
        <v>-3.2877057230757192E-2</v>
      </c>
    </row>
    <row r="102" spans="1:2">
      <c r="A102" s="24">
        <v>98</v>
      </c>
      <c r="B102" s="25">
        <f ca="1">sim!M125*100</f>
        <v>4.3666819151619296E-3</v>
      </c>
    </row>
    <row r="103" spans="1:2">
      <c r="A103" s="24">
        <v>99</v>
      </c>
      <c r="B103" s="25">
        <f ca="1">sim!M126*100</f>
        <v>2.2129939909417007</v>
      </c>
    </row>
    <row r="104" spans="1:2">
      <c r="A104" s="24">
        <v>100</v>
      </c>
      <c r="B104" s="25">
        <f ca="1">sim!M127*100</f>
        <v>0.97676861847843222</v>
      </c>
    </row>
    <row r="105" spans="1:2">
      <c r="A105" s="24">
        <v>101</v>
      </c>
      <c r="B105" s="25"/>
    </row>
    <row r="106" spans="1:2">
      <c r="A106" s="24">
        <v>102</v>
      </c>
      <c r="B106" s="25"/>
    </row>
    <row r="107" spans="1:2">
      <c r="A107" s="24">
        <v>103</v>
      </c>
      <c r="B107" s="25"/>
    </row>
    <row r="108" spans="1:2">
      <c r="A108" s="24">
        <v>104</v>
      </c>
      <c r="B108" s="25"/>
    </row>
    <row r="109" spans="1:2">
      <c r="A109" s="24">
        <v>105</v>
      </c>
      <c r="B109" s="25"/>
    </row>
    <row r="110" spans="1:2">
      <c r="A110" s="24">
        <v>106</v>
      </c>
      <c r="B110" s="25"/>
    </row>
    <row r="111" spans="1:2">
      <c r="A111" s="24">
        <v>107</v>
      </c>
      <c r="B111" s="25"/>
    </row>
    <row r="112" spans="1:2">
      <c r="A112" s="24">
        <v>108</v>
      </c>
      <c r="B112" s="25"/>
    </row>
    <row r="113" spans="1:2">
      <c r="A113" s="24">
        <v>109</v>
      </c>
      <c r="B113" s="25"/>
    </row>
    <row r="114" spans="1:2">
      <c r="A114" s="24">
        <v>110</v>
      </c>
      <c r="B114" s="25"/>
    </row>
    <row r="115" spans="1:2">
      <c r="A115" s="24">
        <v>111</v>
      </c>
      <c r="B115" s="25"/>
    </row>
    <row r="116" spans="1:2">
      <c r="A116" s="24">
        <v>112</v>
      </c>
      <c r="B116" s="25"/>
    </row>
    <row r="117" spans="1:2">
      <c r="A117" s="24">
        <v>113</v>
      </c>
      <c r="B117" s="25"/>
    </row>
    <row r="118" spans="1:2">
      <c r="A118" s="24">
        <v>114</v>
      </c>
      <c r="B118" s="25"/>
    </row>
    <row r="119" spans="1:2">
      <c r="A119" s="24">
        <v>115</v>
      </c>
      <c r="B119" s="25"/>
    </row>
    <row r="120" spans="1:2">
      <c r="A120" s="24">
        <v>116</v>
      </c>
      <c r="B120" s="25"/>
    </row>
    <row r="121" spans="1:2">
      <c r="A121" s="24">
        <v>117</v>
      </c>
      <c r="B121" s="25"/>
    </row>
    <row r="122" spans="1:2">
      <c r="A122" s="24">
        <v>118</v>
      </c>
      <c r="B122" s="25"/>
    </row>
    <row r="123" spans="1:2">
      <c r="A123" s="24">
        <v>119</v>
      </c>
      <c r="B123" s="25"/>
    </row>
    <row r="124" spans="1:2">
      <c r="A124" s="24">
        <v>120</v>
      </c>
      <c r="B124" s="25"/>
    </row>
    <row r="125" spans="1:2">
      <c r="A125" s="24">
        <v>121</v>
      </c>
      <c r="B125" s="25"/>
    </row>
    <row r="126" spans="1:2">
      <c r="A126" s="24">
        <v>122</v>
      </c>
      <c r="B126" s="25"/>
    </row>
    <row r="127" spans="1:2">
      <c r="A127" s="24">
        <v>123</v>
      </c>
      <c r="B127" s="25"/>
    </row>
    <row r="128" spans="1:2">
      <c r="A128" s="24">
        <v>124</v>
      </c>
      <c r="B128" s="25"/>
    </row>
    <row r="129" spans="1:2">
      <c r="A129" s="24">
        <v>125</v>
      </c>
      <c r="B129" s="25"/>
    </row>
    <row r="130" spans="1:2">
      <c r="A130" s="24">
        <v>126</v>
      </c>
      <c r="B130" s="25"/>
    </row>
    <row r="131" spans="1:2">
      <c r="A131" s="24">
        <v>127</v>
      </c>
      <c r="B131" s="25"/>
    </row>
    <row r="132" spans="1:2">
      <c r="A132" s="24">
        <v>128</v>
      </c>
      <c r="B132" s="25"/>
    </row>
    <row r="133" spans="1:2">
      <c r="A133" s="24">
        <v>129</v>
      </c>
      <c r="B133" s="25"/>
    </row>
    <row r="134" spans="1:2">
      <c r="A134" s="24">
        <v>130</v>
      </c>
      <c r="B134" s="25"/>
    </row>
    <row r="135" spans="1:2">
      <c r="A135" s="24">
        <v>131</v>
      </c>
      <c r="B135" s="25"/>
    </row>
    <row r="136" spans="1:2">
      <c r="A136" s="24">
        <v>132</v>
      </c>
      <c r="B136" s="25"/>
    </row>
    <row r="137" spans="1:2">
      <c r="A137" s="24">
        <v>133</v>
      </c>
      <c r="B137" s="25"/>
    </row>
    <row r="138" spans="1:2">
      <c r="A138" s="24">
        <v>134</v>
      </c>
      <c r="B138" s="25"/>
    </row>
    <row r="139" spans="1:2">
      <c r="A139" s="24">
        <v>135</v>
      </c>
      <c r="B139" s="25"/>
    </row>
    <row r="140" spans="1:2">
      <c r="A140" s="24">
        <v>136</v>
      </c>
      <c r="B140" s="25"/>
    </row>
    <row r="141" spans="1:2">
      <c r="A141" s="24">
        <v>137</v>
      </c>
      <c r="B141" s="25"/>
    </row>
    <row r="142" spans="1:2">
      <c r="A142" s="24">
        <v>138</v>
      </c>
      <c r="B142" s="25"/>
    </row>
    <row r="143" spans="1:2">
      <c r="A143" s="24">
        <v>139</v>
      </c>
      <c r="B143" s="25"/>
    </row>
    <row r="144" spans="1:2">
      <c r="A144" s="24">
        <v>140</v>
      </c>
      <c r="B144" s="25"/>
    </row>
    <row r="145" spans="1:2">
      <c r="A145" s="24">
        <v>141</v>
      </c>
      <c r="B145" s="25"/>
    </row>
    <row r="146" spans="1:2">
      <c r="A146" s="24">
        <v>142</v>
      </c>
      <c r="B146" s="25"/>
    </row>
    <row r="147" spans="1:2">
      <c r="A147" s="24">
        <v>143</v>
      </c>
      <c r="B147" s="25"/>
    </row>
    <row r="148" spans="1:2">
      <c r="A148" s="24">
        <v>144</v>
      </c>
      <c r="B148" s="25"/>
    </row>
    <row r="149" spans="1:2">
      <c r="A149" s="24">
        <v>145</v>
      </c>
      <c r="B149" s="25"/>
    </row>
    <row r="150" spans="1:2">
      <c r="A150" s="24">
        <v>146</v>
      </c>
      <c r="B150" s="25"/>
    </row>
    <row r="151" spans="1:2">
      <c r="A151" s="24">
        <v>147</v>
      </c>
      <c r="B151" s="25"/>
    </row>
    <row r="152" spans="1:2">
      <c r="A152" s="24">
        <v>148</v>
      </c>
      <c r="B152" s="25"/>
    </row>
    <row r="153" spans="1:2">
      <c r="A153" s="24">
        <v>149</v>
      </c>
      <c r="B153" s="25"/>
    </row>
    <row r="154" spans="1:2">
      <c r="A154" s="24">
        <v>150</v>
      </c>
      <c r="B154" s="25"/>
    </row>
    <row r="155" spans="1:2">
      <c r="A155" s="24">
        <v>151</v>
      </c>
      <c r="B155" s="25"/>
    </row>
    <row r="156" spans="1:2">
      <c r="A156" s="24">
        <v>152</v>
      </c>
      <c r="B156" s="25"/>
    </row>
    <row r="157" spans="1:2">
      <c r="A157" s="24">
        <v>153</v>
      </c>
      <c r="B157" s="25"/>
    </row>
    <row r="158" spans="1:2">
      <c r="A158" s="24">
        <v>154</v>
      </c>
      <c r="B158" s="25"/>
    </row>
    <row r="159" spans="1:2">
      <c r="A159" s="24">
        <v>155</v>
      </c>
      <c r="B159" s="25"/>
    </row>
    <row r="160" spans="1:2">
      <c r="A160" s="24">
        <v>156</v>
      </c>
      <c r="B160" s="25"/>
    </row>
    <row r="161" spans="1:2">
      <c r="A161" s="24">
        <v>157</v>
      </c>
      <c r="B161" s="25"/>
    </row>
    <row r="162" spans="1:2">
      <c r="A162" s="24">
        <v>158</v>
      </c>
      <c r="B162" s="25"/>
    </row>
    <row r="163" spans="1:2">
      <c r="A163" s="24">
        <v>159</v>
      </c>
      <c r="B163" s="25"/>
    </row>
    <row r="164" spans="1:2">
      <c r="A164" s="24">
        <v>160</v>
      </c>
      <c r="B164" s="25"/>
    </row>
    <row r="165" spans="1:2">
      <c r="A165" s="24">
        <v>161</v>
      </c>
      <c r="B165" s="25"/>
    </row>
    <row r="166" spans="1:2">
      <c r="A166" s="24">
        <v>162</v>
      </c>
      <c r="B166" s="25"/>
    </row>
    <row r="167" spans="1:2">
      <c r="A167" s="24">
        <v>163</v>
      </c>
      <c r="B167" s="25"/>
    </row>
    <row r="168" spans="1:2">
      <c r="A168" s="24">
        <v>164</v>
      </c>
      <c r="B168" s="25"/>
    </row>
    <row r="169" spans="1:2">
      <c r="A169" s="24">
        <v>165</v>
      </c>
      <c r="B169" s="25"/>
    </row>
    <row r="170" spans="1:2">
      <c r="A170" s="24">
        <v>166</v>
      </c>
      <c r="B170" s="25"/>
    </row>
    <row r="171" spans="1:2">
      <c r="A171" s="24">
        <v>167</v>
      </c>
      <c r="B171" s="25"/>
    </row>
    <row r="172" spans="1:2">
      <c r="A172" s="24">
        <v>168</v>
      </c>
      <c r="B172" s="25"/>
    </row>
    <row r="173" spans="1:2">
      <c r="A173" s="24">
        <v>169</v>
      </c>
      <c r="B173" s="25"/>
    </row>
    <row r="174" spans="1:2">
      <c r="A174" s="24">
        <v>170</v>
      </c>
      <c r="B174" s="25"/>
    </row>
    <row r="175" spans="1:2">
      <c r="A175" s="24">
        <v>171</v>
      </c>
      <c r="B175" s="25"/>
    </row>
    <row r="176" spans="1:2">
      <c r="A176" s="24">
        <v>172</v>
      </c>
      <c r="B176" s="25"/>
    </row>
    <row r="177" spans="1:2">
      <c r="A177" s="24">
        <v>173</v>
      </c>
      <c r="B177" s="25"/>
    </row>
    <row r="178" spans="1:2">
      <c r="A178" s="24">
        <v>174</v>
      </c>
      <c r="B178" s="25"/>
    </row>
    <row r="179" spans="1:2">
      <c r="A179" s="24">
        <v>175</v>
      </c>
      <c r="B179" s="25"/>
    </row>
    <row r="180" spans="1:2">
      <c r="A180" s="24">
        <v>176</v>
      </c>
      <c r="B180" s="25"/>
    </row>
    <row r="181" spans="1:2">
      <c r="A181" s="24">
        <v>177</v>
      </c>
      <c r="B181" s="25"/>
    </row>
    <row r="182" spans="1:2">
      <c r="A182" s="24">
        <v>178</v>
      </c>
      <c r="B182" s="25"/>
    </row>
    <row r="183" spans="1:2">
      <c r="A183" s="24">
        <v>179</v>
      </c>
      <c r="B183" s="25"/>
    </row>
    <row r="184" spans="1:2">
      <c r="A184" s="24">
        <v>180</v>
      </c>
      <c r="B184" s="25"/>
    </row>
    <row r="185" spans="1:2">
      <c r="A185" s="24">
        <v>181</v>
      </c>
      <c r="B185" s="25"/>
    </row>
    <row r="186" spans="1:2">
      <c r="A186" s="24">
        <v>182</v>
      </c>
      <c r="B186" s="25"/>
    </row>
    <row r="187" spans="1:2">
      <c r="A187" s="24">
        <v>183</v>
      </c>
      <c r="B187" s="25"/>
    </row>
    <row r="188" spans="1:2">
      <c r="A188" s="24">
        <v>184</v>
      </c>
      <c r="B188" s="25"/>
    </row>
    <row r="189" spans="1:2">
      <c r="A189" s="24">
        <v>185</v>
      </c>
      <c r="B189" s="25"/>
    </row>
    <row r="190" spans="1:2">
      <c r="A190" s="24">
        <v>186</v>
      </c>
      <c r="B190" s="25"/>
    </row>
    <row r="191" spans="1:2">
      <c r="A191" s="24">
        <v>187</v>
      </c>
      <c r="B191" s="25"/>
    </row>
    <row r="192" spans="1:2">
      <c r="A192" s="24">
        <v>188</v>
      </c>
      <c r="B192" s="25"/>
    </row>
    <row r="193" spans="1:2">
      <c r="A193" s="24">
        <v>189</v>
      </c>
      <c r="B193" s="25"/>
    </row>
    <row r="194" spans="1:2">
      <c r="A194" s="24">
        <v>190</v>
      </c>
      <c r="B194" s="25"/>
    </row>
    <row r="195" spans="1:2">
      <c r="A195" s="24">
        <v>191</v>
      </c>
      <c r="B195" s="25"/>
    </row>
    <row r="196" spans="1:2">
      <c r="A196" s="24">
        <v>192</v>
      </c>
      <c r="B196" s="25"/>
    </row>
    <row r="197" spans="1:2">
      <c r="A197" s="24">
        <v>193</v>
      </c>
      <c r="B197" s="25"/>
    </row>
    <row r="198" spans="1:2">
      <c r="A198" s="24">
        <v>194</v>
      </c>
      <c r="B198" s="25"/>
    </row>
    <row r="199" spans="1:2">
      <c r="A199" s="24">
        <v>195</v>
      </c>
      <c r="B199" s="25"/>
    </row>
    <row r="200" spans="1:2">
      <c r="A200" s="24">
        <v>196</v>
      </c>
      <c r="B200" s="25"/>
    </row>
    <row r="201" spans="1:2">
      <c r="A201" s="24">
        <v>197</v>
      </c>
      <c r="B201" s="25"/>
    </row>
    <row r="202" spans="1:2">
      <c r="A202" s="24">
        <v>198</v>
      </c>
      <c r="B202" s="25"/>
    </row>
    <row r="203" spans="1:2">
      <c r="A203" s="24">
        <v>199</v>
      </c>
      <c r="B203" s="25"/>
    </row>
    <row r="204" spans="1:2">
      <c r="A204" s="24">
        <v>200</v>
      </c>
      <c r="B204" s="25"/>
    </row>
    <row r="205" spans="1:2">
      <c r="A205" s="24">
        <v>201</v>
      </c>
      <c r="B205" s="25"/>
    </row>
    <row r="206" spans="1:2">
      <c r="A206" s="24">
        <v>202</v>
      </c>
      <c r="B206" s="25"/>
    </row>
    <row r="207" spans="1:2">
      <c r="A207" s="24">
        <v>203</v>
      </c>
      <c r="B207" s="25"/>
    </row>
    <row r="208" spans="1:2">
      <c r="A208" s="24">
        <v>204</v>
      </c>
      <c r="B208" s="25"/>
    </row>
    <row r="209" spans="1:2">
      <c r="A209" s="24">
        <v>205</v>
      </c>
      <c r="B209" s="25"/>
    </row>
    <row r="210" spans="1:2">
      <c r="A210" s="24">
        <v>206</v>
      </c>
      <c r="B210" s="25"/>
    </row>
    <row r="211" spans="1:2">
      <c r="A211" s="24">
        <v>207</v>
      </c>
      <c r="B211" s="25"/>
    </row>
    <row r="212" spans="1:2">
      <c r="A212" s="24">
        <v>208</v>
      </c>
      <c r="B212" s="25"/>
    </row>
    <row r="213" spans="1:2">
      <c r="A213" s="24">
        <v>209</v>
      </c>
      <c r="B213" s="25"/>
    </row>
    <row r="214" spans="1:2">
      <c r="A214" s="24">
        <v>210</v>
      </c>
      <c r="B214" s="25"/>
    </row>
    <row r="215" spans="1:2">
      <c r="A215" s="24">
        <v>211</v>
      </c>
      <c r="B215" s="25"/>
    </row>
    <row r="216" spans="1:2">
      <c r="A216" s="24">
        <v>212</v>
      </c>
      <c r="B216" s="25"/>
    </row>
    <row r="217" spans="1:2">
      <c r="A217" s="24">
        <v>213</v>
      </c>
      <c r="B217" s="25"/>
    </row>
    <row r="218" spans="1:2">
      <c r="A218" s="24">
        <v>214</v>
      </c>
      <c r="B218" s="25"/>
    </row>
    <row r="219" spans="1:2">
      <c r="A219" s="24">
        <v>215</v>
      </c>
      <c r="B219" s="25"/>
    </row>
    <row r="220" spans="1:2">
      <c r="A220" s="24">
        <v>216</v>
      </c>
      <c r="B220" s="25"/>
    </row>
    <row r="221" spans="1:2">
      <c r="A221" s="24">
        <v>217</v>
      </c>
      <c r="B221" s="25"/>
    </row>
    <row r="222" spans="1:2">
      <c r="A222" s="24">
        <v>218</v>
      </c>
      <c r="B222" s="25"/>
    </row>
    <row r="223" spans="1:2">
      <c r="A223" s="24">
        <v>219</v>
      </c>
      <c r="B223" s="25"/>
    </row>
    <row r="224" spans="1:2">
      <c r="A224" s="24">
        <v>220</v>
      </c>
      <c r="B224" s="25"/>
    </row>
    <row r="225" spans="1:2">
      <c r="A225" s="24">
        <v>221</v>
      </c>
      <c r="B225" s="25"/>
    </row>
    <row r="226" spans="1:2">
      <c r="A226" s="24">
        <v>222</v>
      </c>
      <c r="B226" s="25"/>
    </row>
    <row r="227" spans="1:2">
      <c r="A227" s="24">
        <v>223</v>
      </c>
      <c r="B227" s="25"/>
    </row>
    <row r="228" spans="1:2">
      <c r="A228" s="24">
        <v>224</v>
      </c>
      <c r="B228" s="25"/>
    </row>
    <row r="229" spans="1:2">
      <c r="A229" s="24">
        <v>225</v>
      </c>
      <c r="B229" s="25"/>
    </row>
    <row r="230" spans="1:2">
      <c r="A230" s="24">
        <v>226</v>
      </c>
      <c r="B230" s="25"/>
    </row>
    <row r="231" spans="1:2">
      <c r="A231" s="24">
        <v>227</v>
      </c>
      <c r="B231" s="25"/>
    </row>
    <row r="232" spans="1:2">
      <c r="A232" s="24">
        <v>228</v>
      </c>
      <c r="B232" s="25"/>
    </row>
    <row r="233" spans="1:2">
      <c r="A233" s="24">
        <v>229</v>
      </c>
      <c r="B233" s="25"/>
    </row>
    <row r="234" spans="1:2">
      <c r="A234" s="24">
        <v>230</v>
      </c>
      <c r="B234" s="25"/>
    </row>
    <row r="235" spans="1:2">
      <c r="A235" s="24">
        <v>231</v>
      </c>
      <c r="B235" s="25"/>
    </row>
    <row r="236" spans="1:2">
      <c r="A236" s="24">
        <v>232</v>
      </c>
      <c r="B236" s="25"/>
    </row>
    <row r="237" spans="1:2">
      <c r="A237" s="24">
        <v>233</v>
      </c>
      <c r="B237" s="25"/>
    </row>
    <row r="238" spans="1:2">
      <c r="A238" s="24">
        <v>234</v>
      </c>
      <c r="B238" s="25"/>
    </row>
    <row r="239" spans="1:2">
      <c r="A239" s="24">
        <v>235</v>
      </c>
      <c r="B239" s="25"/>
    </row>
    <row r="240" spans="1:2">
      <c r="A240" s="24">
        <v>236</v>
      </c>
      <c r="B240" s="25"/>
    </row>
    <row r="241" spans="1:2">
      <c r="A241" s="24">
        <v>237</v>
      </c>
      <c r="B241" s="25"/>
    </row>
    <row r="242" spans="1:2">
      <c r="A242" s="24">
        <v>238</v>
      </c>
      <c r="B242" s="25"/>
    </row>
    <row r="243" spans="1:2">
      <c r="A243" s="24">
        <v>239</v>
      </c>
      <c r="B243" s="25"/>
    </row>
    <row r="244" spans="1:2">
      <c r="A244" s="24">
        <v>240</v>
      </c>
      <c r="B244" s="25"/>
    </row>
    <row r="245" spans="1:2">
      <c r="A245" s="24">
        <v>241</v>
      </c>
      <c r="B245" s="25"/>
    </row>
    <row r="246" spans="1:2">
      <c r="A246" s="24">
        <v>242</v>
      </c>
      <c r="B246" s="25"/>
    </row>
    <row r="247" spans="1:2">
      <c r="A247" s="24">
        <v>243</v>
      </c>
      <c r="B247" s="25"/>
    </row>
    <row r="248" spans="1:2">
      <c r="A248" s="24">
        <v>244</v>
      </c>
      <c r="B248" s="25"/>
    </row>
    <row r="249" spans="1:2">
      <c r="A249" s="24">
        <v>245</v>
      </c>
      <c r="B249" s="25"/>
    </row>
    <row r="250" spans="1:2">
      <c r="A250" s="24">
        <v>246</v>
      </c>
      <c r="B250" s="25"/>
    </row>
    <row r="251" spans="1:2">
      <c r="A251" s="24">
        <v>247</v>
      </c>
      <c r="B251" s="25"/>
    </row>
    <row r="252" spans="1:2">
      <c r="A252" s="24">
        <v>248</v>
      </c>
      <c r="B252" s="25"/>
    </row>
    <row r="253" spans="1:2">
      <c r="A253" s="24">
        <v>249</v>
      </c>
      <c r="B253" s="25"/>
    </row>
    <row r="254" spans="1:2">
      <c r="A254" s="24">
        <v>250</v>
      </c>
      <c r="B254" s="25"/>
    </row>
    <row r="255" spans="1:2">
      <c r="A255" s="24">
        <v>251</v>
      </c>
      <c r="B255" s="25"/>
    </row>
    <row r="256" spans="1:2">
      <c r="A256" s="24">
        <v>252</v>
      </c>
      <c r="B256" s="25"/>
    </row>
    <row r="257" spans="1:2">
      <c r="A257" s="24">
        <v>253</v>
      </c>
      <c r="B257" s="25"/>
    </row>
    <row r="258" spans="1:2">
      <c r="A258" s="24">
        <v>254</v>
      </c>
      <c r="B258" s="25"/>
    </row>
    <row r="259" spans="1:2">
      <c r="A259" s="24">
        <v>255</v>
      </c>
      <c r="B259" s="25"/>
    </row>
    <row r="260" spans="1:2">
      <c r="A260" s="24">
        <v>256</v>
      </c>
      <c r="B260" s="25"/>
    </row>
    <row r="261" spans="1:2">
      <c r="A261" s="24">
        <v>257</v>
      </c>
      <c r="B261" s="25"/>
    </row>
    <row r="262" spans="1:2">
      <c r="A262" s="24">
        <v>258</v>
      </c>
      <c r="B262" s="25"/>
    </row>
    <row r="263" spans="1:2">
      <c r="A263" s="24">
        <v>259</v>
      </c>
      <c r="B263" s="25"/>
    </row>
    <row r="264" spans="1:2">
      <c r="A264" s="24">
        <v>260</v>
      </c>
      <c r="B264" s="25"/>
    </row>
    <row r="265" spans="1:2">
      <c r="A265" s="24">
        <v>261</v>
      </c>
      <c r="B265" s="25"/>
    </row>
    <row r="266" spans="1:2">
      <c r="A266" s="24">
        <v>262</v>
      </c>
      <c r="B266" s="25"/>
    </row>
    <row r="267" spans="1:2">
      <c r="A267" s="24">
        <v>263</v>
      </c>
      <c r="B267" s="25"/>
    </row>
    <row r="268" spans="1:2">
      <c r="A268" s="24">
        <v>264</v>
      </c>
      <c r="B268" s="25"/>
    </row>
    <row r="269" spans="1:2">
      <c r="A269" s="24">
        <v>265</v>
      </c>
      <c r="B269" s="25"/>
    </row>
    <row r="270" spans="1:2">
      <c r="A270" s="24">
        <v>266</v>
      </c>
      <c r="B270" s="25"/>
    </row>
    <row r="271" spans="1:2">
      <c r="A271" s="24">
        <v>267</v>
      </c>
      <c r="B271" s="25"/>
    </row>
    <row r="272" spans="1:2">
      <c r="A272" s="24">
        <v>268</v>
      </c>
      <c r="B272" s="25"/>
    </row>
    <row r="273" spans="1:2">
      <c r="A273" s="24">
        <v>269</v>
      </c>
      <c r="B273" s="25"/>
    </row>
    <row r="274" spans="1:2">
      <c r="A274" s="24">
        <v>270</v>
      </c>
      <c r="B274" s="25"/>
    </row>
    <row r="275" spans="1:2">
      <c r="A275" s="24">
        <v>271</v>
      </c>
      <c r="B275" s="25"/>
    </row>
    <row r="276" spans="1:2">
      <c r="A276" s="24">
        <v>272</v>
      </c>
      <c r="B276" s="25"/>
    </row>
    <row r="277" spans="1:2">
      <c r="A277" s="24">
        <v>273</v>
      </c>
      <c r="B277" s="25"/>
    </row>
    <row r="278" spans="1:2">
      <c r="A278" s="24">
        <v>274</v>
      </c>
      <c r="B278" s="25"/>
    </row>
    <row r="279" spans="1:2">
      <c r="A279" s="24">
        <v>275</v>
      </c>
      <c r="B279" s="25"/>
    </row>
    <row r="280" spans="1:2">
      <c r="A280" s="24">
        <v>276</v>
      </c>
      <c r="B280" s="25"/>
    </row>
    <row r="281" spans="1:2">
      <c r="A281" s="24">
        <v>277</v>
      </c>
      <c r="B281" s="25"/>
    </row>
    <row r="282" spans="1:2">
      <c r="A282" s="24">
        <v>278</v>
      </c>
      <c r="B282" s="25"/>
    </row>
    <row r="283" spans="1:2">
      <c r="A283" s="24">
        <v>279</v>
      </c>
      <c r="B283" s="25"/>
    </row>
    <row r="284" spans="1:2">
      <c r="A284" s="24">
        <v>280</v>
      </c>
      <c r="B284" s="25"/>
    </row>
    <row r="285" spans="1:2">
      <c r="A285" s="24">
        <v>281</v>
      </c>
      <c r="B285" s="25"/>
    </row>
    <row r="286" spans="1:2">
      <c r="A286" s="24">
        <v>282</v>
      </c>
      <c r="B286" s="25"/>
    </row>
    <row r="287" spans="1:2">
      <c r="A287" s="24">
        <v>283</v>
      </c>
      <c r="B287" s="25"/>
    </row>
    <row r="288" spans="1:2">
      <c r="A288" s="24">
        <v>284</v>
      </c>
      <c r="B288" s="25"/>
    </row>
    <row r="289" spans="1:2">
      <c r="A289" s="24">
        <v>285</v>
      </c>
      <c r="B289" s="25"/>
    </row>
    <row r="290" spans="1:2">
      <c r="A290" s="24">
        <v>286</v>
      </c>
      <c r="B290" s="25"/>
    </row>
    <row r="291" spans="1:2">
      <c r="A291" s="24">
        <v>287</v>
      </c>
      <c r="B291" s="25"/>
    </row>
    <row r="292" spans="1:2">
      <c r="A292" s="24">
        <v>288</v>
      </c>
      <c r="B292" s="25"/>
    </row>
    <row r="293" spans="1:2">
      <c r="A293" s="24">
        <v>289</v>
      </c>
      <c r="B293" s="25"/>
    </row>
    <row r="294" spans="1:2">
      <c r="A294" s="24">
        <v>290</v>
      </c>
      <c r="B294" s="25"/>
    </row>
    <row r="295" spans="1:2">
      <c r="A295" s="24">
        <v>291</v>
      </c>
      <c r="B295" s="25"/>
    </row>
    <row r="296" spans="1:2">
      <c r="A296" s="24">
        <v>292</v>
      </c>
      <c r="B296" s="25"/>
    </row>
    <row r="297" spans="1:2">
      <c r="A297" s="24">
        <v>293</v>
      </c>
      <c r="B297" s="25"/>
    </row>
    <row r="298" spans="1:2">
      <c r="A298" s="24">
        <v>294</v>
      </c>
      <c r="B298" s="25"/>
    </row>
    <row r="299" spans="1:2">
      <c r="A299" s="24">
        <v>295</v>
      </c>
      <c r="B299" s="25"/>
    </row>
    <row r="300" spans="1:2">
      <c r="A300" s="24">
        <v>296</v>
      </c>
      <c r="B300" s="25"/>
    </row>
    <row r="301" spans="1:2">
      <c r="A301" s="24">
        <v>297</v>
      </c>
      <c r="B301" s="25"/>
    </row>
    <row r="302" spans="1:2">
      <c r="A302" s="24">
        <v>298</v>
      </c>
      <c r="B302" s="25"/>
    </row>
    <row r="303" spans="1:2">
      <c r="A303" s="24">
        <v>299</v>
      </c>
      <c r="B303" s="25"/>
    </row>
    <row r="304" spans="1:2">
      <c r="A304" s="24">
        <v>300</v>
      </c>
      <c r="B304" s="25"/>
    </row>
    <row r="305" spans="1:2">
      <c r="A305" s="24">
        <v>301</v>
      </c>
      <c r="B305" s="25"/>
    </row>
    <row r="306" spans="1:2">
      <c r="A306" s="24">
        <v>302</v>
      </c>
      <c r="B306" s="25"/>
    </row>
    <row r="307" spans="1:2">
      <c r="A307" s="24">
        <v>303</v>
      </c>
      <c r="B307" s="25"/>
    </row>
    <row r="308" spans="1:2">
      <c r="A308" s="24">
        <v>304</v>
      </c>
      <c r="B308" s="25"/>
    </row>
    <row r="309" spans="1:2">
      <c r="A309" s="24">
        <v>305</v>
      </c>
      <c r="B309" s="25"/>
    </row>
    <row r="310" spans="1:2">
      <c r="A310" s="24">
        <v>306</v>
      </c>
      <c r="B310" s="25"/>
    </row>
    <row r="311" spans="1:2">
      <c r="A311" s="24">
        <v>307</v>
      </c>
      <c r="B311" s="25"/>
    </row>
    <row r="312" spans="1:2">
      <c r="A312" s="24">
        <v>308</v>
      </c>
      <c r="B312" s="25"/>
    </row>
    <row r="313" spans="1:2">
      <c r="A313" s="24">
        <v>309</v>
      </c>
      <c r="B313" s="25"/>
    </row>
    <row r="314" spans="1:2">
      <c r="A314" s="24">
        <v>310</v>
      </c>
      <c r="B314" s="25"/>
    </row>
    <row r="315" spans="1:2">
      <c r="A315" s="24">
        <v>311</v>
      </c>
      <c r="B315" s="25"/>
    </row>
    <row r="316" spans="1:2">
      <c r="A316" s="24">
        <v>312</v>
      </c>
      <c r="B316" s="25"/>
    </row>
    <row r="317" spans="1:2">
      <c r="A317" s="24">
        <v>313</v>
      </c>
      <c r="B317" s="25"/>
    </row>
    <row r="318" spans="1:2">
      <c r="A318" s="24">
        <v>314</v>
      </c>
      <c r="B318" s="25"/>
    </row>
    <row r="319" spans="1:2">
      <c r="A319" s="24">
        <v>315</v>
      </c>
      <c r="B319" s="25"/>
    </row>
    <row r="320" spans="1:2">
      <c r="A320" s="24">
        <v>316</v>
      </c>
      <c r="B320" s="25"/>
    </row>
    <row r="321" spans="1:2">
      <c r="A321" s="24">
        <v>317</v>
      </c>
      <c r="B321" s="25"/>
    </row>
    <row r="322" spans="1:2">
      <c r="A322" s="24">
        <v>318</v>
      </c>
      <c r="B322" s="25"/>
    </row>
    <row r="323" spans="1:2">
      <c r="A323" s="24">
        <v>319</v>
      </c>
      <c r="B323" s="25"/>
    </row>
    <row r="324" spans="1:2">
      <c r="A324" s="24">
        <v>320</v>
      </c>
      <c r="B324" s="25"/>
    </row>
    <row r="325" spans="1:2">
      <c r="A325" s="24">
        <v>321</v>
      </c>
      <c r="B325" s="25"/>
    </row>
    <row r="326" spans="1:2">
      <c r="A326" s="24">
        <v>322</v>
      </c>
      <c r="B326" s="25"/>
    </row>
    <row r="327" spans="1:2">
      <c r="A327" s="24">
        <v>323</v>
      </c>
      <c r="B327" s="25"/>
    </row>
    <row r="328" spans="1:2">
      <c r="A328" s="24">
        <v>324</v>
      </c>
      <c r="B328" s="25"/>
    </row>
    <row r="329" spans="1:2">
      <c r="A329" s="24">
        <v>325</v>
      </c>
      <c r="B329" s="25"/>
    </row>
    <row r="330" spans="1:2">
      <c r="A330" s="24">
        <v>326</v>
      </c>
      <c r="B330" s="25"/>
    </row>
    <row r="331" spans="1:2">
      <c r="A331" s="24">
        <v>327</v>
      </c>
      <c r="B331" s="25"/>
    </row>
    <row r="332" spans="1:2">
      <c r="A332" s="24">
        <v>328</v>
      </c>
      <c r="B332" s="25"/>
    </row>
    <row r="333" spans="1:2">
      <c r="A333" s="24">
        <v>329</v>
      </c>
      <c r="B333" s="25"/>
    </row>
    <row r="334" spans="1:2">
      <c r="A334" s="24">
        <v>330</v>
      </c>
      <c r="B334" s="25"/>
    </row>
    <row r="335" spans="1:2">
      <c r="A335" s="24">
        <v>331</v>
      </c>
      <c r="B335" s="25"/>
    </row>
    <row r="336" spans="1:2">
      <c r="A336" s="24">
        <v>332</v>
      </c>
      <c r="B336" s="25"/>
    </row>
    <row r="337" spans="1:2">
      <c r="A337" s="24">
        <v>333</v>
      </c>
      <c r="B337" s="25"/>
    </row>
    <row r="338" spans="1:2">
      <c r="A338" s="24">
        <v>334</v>
      </c>
      <c r="B338" s="25"/>
    </row>
    <row r="339" spans="1:2">
      <c r="A339" s="24">
        <v>335</v>
      </c>
      <c r="B339" s="25"/>
    </row>
    <row r="340" spans="1:2">
      <c r="A340" s="24">
        <v>336</v>
      </c>
      <c r="B340" s="25"/>
    </row>
    <row r="341" spans="1:2">
      <c r="A341" s="24">
        <v>337</v>
      </c>
      <c r="B341" s="25"/>
    </row>
    <row r="342" spans="1:2">
      <c r="A342" s="24">
        <v>338</v>
      </c>
      <c r="B342" s="25"/>
    </row>
    <row r="343" spans="1:2">
      <c r="A343" s="24">
        <v>339</v>
      </c>
      <c r="B343" s="25"/>
    </row>
    <row r="344" spans="1:2">
      <c r="A344" s="24">
        <v>340</v>
      </c>
      <c r="B344" s="25"/>
    </row>
    <row r="345" spans="1:2">
      <c r="A345" s="24">
        <v>341</v>
      </c>
      <c r="B345" s="25"/>
    </row>
    <row r="346" spans="1:2">
      <c r="A346" s="24">
        <v>342</v>
      </c>
      <c r="B346" s="25"/>
    </row>
    <row r="347" spans="1:2">
      <c r="A347" s="24">
        <v>343</v>
      </c>
      <c r="B347" s="25"/>
    </row>
    <row r="348" spans="1:2">
      <c r="A348" s="24">
        <v>344</v>
      </c>
      <c r="B348" s="25"/>
    </row>
    <row r="349" spans="1:2">
      <c r="A349" s="24">
        <v>345</v>
      </c>
      <c r="B349" s="25"/>
    </row>
    <row r="350" spans="1:2">
      <c r="A350" s="24">
        <v>346</v>
      </c>
      <c r="B350" s="25"/>
    </row>
    <row r="351" spans="1:2">
      <c r="A351" s="24">
        <v>347</v>
      </c>
      <c r="B351" s="25"/>
    </row>
    <row r="352" spans="1:2">
      <c r="A352" s="24">
        <v>348</v>
      </c>
      <c r="B352" s="25"/>
    </row>
    <row r="353" spans="1:2">
      <c r="A353" s="24">
        <v>349</v>
      </c>
      <c r="B353" s="25"/>
    </row>
    <row r="354" spans="1:2">
      <c r="A354" s="24">
        <v>350</v>
      </c>
      <c r="B354" s="25"/>
    </row>
    <row r="355" spans="1:2">
      <c r="A355" s="24">
        <v>351</v>
      </c>
      <c r="B355" s="25"/>
    </row>
    <row r="356" spans="1:2">
      <c r="A356" s="24">
        <v>352</v>
      </c>
      <c r="B356" s="25"/>
    </row>
    <row r="357" spans="1:2">
      <c r="A357" s="24">
        <v>353</v>
      </c>
      <c r="B357" s="25"/>
    </row>
    <row r="358" spans="1:2">
      <c r="A358" s="24">
        <v>354</v>
      </c>
      <c r="B358" s="25"/>
    </row>
    <row r="359" spans="1:2">
      <c r="A359" s="24">
        <v>355</v>
      </c>
      <c r="B359" s="25"/>
    </row>
    <row r="360" spans="1:2">
      <c r="A360" s="24">
        <v>356</v>
      </c>
      <c r="B360" s="25"/>
    </row>
    <row r="361" spans="1:2">
      <c r="A361" s="24">
        <v>357</v>
      </c>
      <c r="B361" s="25"/>
    </row>
    <row r="362" spans="1:2">
      <c r="A362" s="24">
        <v>358</v>
      </c>
      <c r="B362" s="25"/>
    </row>
    <row r="363" spans="1:2">
      <c r="A363" s="24">
        <v>359</v>
      </c>
      <c r="B363" s="25"/>
    </row>
    <row r="364" spans="1:2">
      <c r="A364" s="24">
        <v>360</v>
      </c>
      <c r="B364" s="25"/>
    </row>
    <row r="365" spans="1:2">
      <c r="A365" s="24">
        <v>361</v>
      </c>
      <c r="B365" s="25"/>
    </row>
    <row r="366" spans="1:2">
      <c r="A366" s="24">
        <v>362</v>
      </c>
      <c r="B366" s="25"/>
    </row>
    <row r="367" spans="1:2">
      <c r="A367" s="24">
        <v>363</v>
      </c>
      <c r="B367" s="25"/>
    </row>
    <row r="368" spans="1:2">
      <c r="A368" s="24">
        <v>364</v>
      </c>
      <c r="B368" s="25"/>
    </row>
    <row r="369" spans="1:2">
      <c r="A369" s="24">
        <v>365</v>
      </c>
      <c r="B369" s="25"/>
    </row>
    <row r="370" spans="1:2">
      <c r="A370" s="24">
        <v>366</v>
      </c>
      <c r="B370" s="25"/>
    </row>
    <row r="371" spans="1:2">
      <c r="A371" s="24">
        <v>367</v>
      </c>
      <c r="B371" s="25"/>
    </row>
    <row r="372" spans="1:2">
      <c r="A372" s="24">
        <v>368</v>
      </c>
      <c r="B372" s="25"/>
    </row>
    <row r="373" spans="1:2">
      <c r="A373" s="24">
        <v>369</v>
      </c>
      <c r="B373" s="25"/>
    </row>
    <row r="374" spans="1:2">
      <c r="A374" s="24">
        <v>370</v>
      </c>
      <c r="B374" s="25"/>
    </row>
    <row r="375" spans="1:2">
      <c r="A375" s="24">
        <v>371</v>
      </c>
      <c r="B375" s="25"/>
    </row>
    <row r="376" spans="1:2">
      <c r="A376" s="24">
        <v>372</v>
      </c>
      <c r="B376" s="25"/>
    </row>
    <row r="377" spans="1:2">
      <c r="A377" s="24">
        <v>373</v>
      </c>
      <c r="B377" s="25"/>
    </row>
    <row r="378" spans="1:2">
      <c r="A378" s="24">
        <v>374</v>
      </c>
      <c r="B378" s="25"/>
    </row>
    <row r="379" spans="1:2">
      <c r="A379" s="24">
        <v>375</v>
      </c>
      <c r="B379" s="25"/>
    </row>
    <row r="380" spans="1:2">
      <c r="A380" s="24">
        <v>376</v>
      </c>
      <c r="B380" s="25"/>
    </row>
    <row r="381" spans="1:2">
      <c r="A381" s="24">
        <v>377</v>
      </c>
      <c r="B381" s="25"/>
    </row>
    <row r="382" spans="1:2">
      <c r="A382" s="24">
        <v>378</v>
      </c>
      <c r="B382" s="25"/>
    </row>
    <row r="383" spans="1:2">
      <c r="A383" s="24">
        <v>379</v>
      </c>
      <c r="B383" s="25"/>
    </row>
    <row r="384" spans="1:2">
      <c r="A384" s="24">
        <v>380</v>
      </c>
      <c r="B384" s="25"/>
    </row>
    <row r="385" spans="1:2">
      <c r="A385" s="24">
        <v>381</v>
      </c>
      <c r="B385" s="25"/>
    </row>
    <row r="386" spans="1:2">
      <c r="A386" s="24">
        <v>382</v>
      </c>
      <c r="B386" s="25"/>
    </row>
    <row r="387" spans="1:2">
      <c r="A387" s="24">
        <v>383</v>
      </c>
      <c r="B387" s="25"/>
    </row>
    <row r="388" spans="1:2">
      <c r="A388" s="24">
        <v>384</v>
      </c>
      <c r="B388" s="25"/>
    </row>
    <row r="389" spans="1:2">
      <c r="A389" s="24">
        <v>385</v>
      </c>
      <c r="B389" s="25"/>
    </row>
    <row r="390" spans="1:2">
      <c r="A390" s="24">
        <v>386</v>
      </c>
      <c r="B390" s="25"/>
    </row>
    <row r="391" spans="1:2">
      <c r="A391" s="24">
        <v>387</v>
      </c>
      <c r="B391" s="25"/>
    </row>
    <row r="392" spans="1:2">
      <c r="A392" s="24">
        <v>388</v>
      </c>
      <c r="B392" s="25"/>
    </row>
    <row r="393" spans="1:2">
      <c r="A393" s="24">
        <v>389</v>
      </c>
      <c r="B393" s="25"/>
    </row>
    <row r="394" spans="1:2">
      <c r="A394" s="24">
        <v>390</v>
      </c>
      <c r="B394" s="25"/>
    </row>
    <row r="395" spans="1:2">
      <c r="A395" s="24">
        <v>391</v>
      </c>
      <c r="B395" s="25"/>
    </row>
    <row r="396" spans="1:2">
      <c r="A396" s="24">
        <v>392</v>
      </c>
      <c r="B396" s="25"/>
    </row>
    <row r="397" spans="1:2">
      <c r="A397" s="24">
        <v>393</v>
      </c>
      <c r="B397" s="25"/>
    </row>
    <row r="398" spans="1:2">
      <c r="A398" s="24">
        <v>394</v>
      </c>
      <c r="B398" s="25"/>
    </row>
    <row r="399" spans="1:2">
      <c r="A399" s="24">
        <v>395</v>
      </c>
      <c r="B399" s="25"/>
    </row>
    <row r="400" spans="1:2">
      <c r="A400" s="24">
        <v>396</v>
      </c>
      <c r="B400" s="25"/>
    </row>
    <row r="401" spans="1:2">
      <c r="A401" s="24">
        <v>397</v>
      </c>
      <c r="B401" s="25"/>
    </row>
    <row r="402" spans="1:2">
      <c r="A402" s="24">
        <v>398</v>
      </c>
      <c r="B402" s="25"/>
    </row>
    <row r="403" spans="1:2">
      <c r="A403" s="24">
        <v>399</v>
      </c>
      <c r="B403" s="25"/>
    </row>
    <row r="404" spans="1:2">
      <c r="A404" s="24">
        <v>400</v>
      </c>
      <c r="B404" s="25"/>
    </row>
    <row r="405" spans="1:2">
      <c r="A405" s="24">
        <v>401</v>
      </c>
      <c r="B405" s="25"/>
    </row>
    <row r="406" spans="1:2">
      <c r="A406" s="24">
        <v>402</v>
      </c>
      <c r="B406" s="25"/>
    </row>
    <row r="407" spans="1:2">
      <c r="A407" s="24">
        <v>403</v>
      </c>
      <c r="B407" s="25"/>
    </row>
    <row r="408" spans="1:2">
      <c r="A408" s="24">
        <v>404</v>
      </c>
      <c r="B408" s="25"/>
    </row>
    <row r="409" spans="1:2">
      <c r="A409" s="24">
        <v>405</v>
      </c>
      <c r="B409" s="25"/>
    </row>
    <row r="410" spans="1:2">
      <c r="A410" s="24">
        <v>406</v>
      </c>
      <c r="B410" s="25"/>
    </row>
    <row r="411" spans="1:2">
      <c r="A411" s="24">
        <v>407</v>
      </c>
      <c r="B411" s="25"/>
    </row>
    <row r="412" spans="1:2">
      <c r="A412" s="24">
        <v>408</v>
      </c>
      <c r="B412" s="25"/>
    </row>
    <row r="413" spans="1:2">
      <c r="A413" s="24">
        <v>409</v>
      </c>
      <c r="B413" s="25"/>
    </row>
    <row r="414" spans="1:2">
      <c r="A414" s="24">
        <v>410</v>
      </c>
      <c r="B414" s="25"/>
    </row>
    <row r="415" spans="1:2">
      <c r="A415" s="24">
        <v>411</v>
      </c>
      <c r="B415" s="25"/>
    </row>
    <row r="416" spans="1:2">
      <c r="A416" s="24">
        <v>412</v>
      </c>
      <c r="B416" s="25"/>
    </row>
    <row r="417" spans="1:2">
      <c r="A417" s="24">
        <v>413</v>
      </c>
      <c r="B417" s="25"/>
    </row>
    <row r="418" spans="1:2">
      <c r="A418" s="24">
        <v>414</v>
      </c>
      <c r="B418" s="25"/>
    </row>
    <row r="419" spans="1:2">
      <c r="A419" s="24">
        <v>415</v>
      </c>
      <c r="B419" s="25"/>
    </row>
    <row r="420" spans="1:2">
      <c r="A420" s="24">
        <v>416</v>
      </c>
      <c r="B420" s="25"/>
    </row>
    <row r="421" spans="1:2">
      <c r="A421" s="24">
        <v>417</v>
      </c>
      <c r="B421" s="25"/>
    </row>
    <row r="422" spans="1:2">
      <c r="A422" s="24">
        <v>418</v>
      </c>
      <c r="B422" s="25"/>
    </row>
    <row r="423" spans="1:2">
      <c r="A423" s="24">
        <v>419</v>
      </c>
      <c r="B423" s="25"/>
    </row>
    <row r="424" spans="1:2">
      <c r="A424" s="24">
        <v>420</v>
      </c>
      <c r="B424" s="25"/>
    </row>
    <row r="425" spans="1:2">
      <c r="A425" s="24">
        <v>421</v>
      </c>
      <c r="B425" s="25"/>
    </row>
    <row r="426" spans="1:2">
      <c r="A426" s="24">
        <v>422</v>
      </c>
      <c r="B426" s="25"/>
    </row>
    <row r="427" spans="1:2">
      <c r="A427" s="24">
        <v>423</v>
      </c>
      <c r="B427" s="25"/>
    </row>
    <row r="428" spans="1:2">
      <c r="A428" s="24">
        <v>424</v>
      </c>
      <c r="B428" s="25"/>
    </row>
    <row r="429" spans="1:2">
      <c r="A429" s="24">
        <v>425</v>
      </c>
      <c r="B429" s="25"/>
    </row>
    <row r="430" spans="1:2">
      <c r="A430" s="24">
        <v>426</v>
      </c>
      <c r="B430" s="25"/>
    </row>
    <row r="431" spans="1:2">
      <c r="A431" s="24">
        <v>427</v>
      </c>
      <c r="B431" s="25"/>
    </row>
    <row r="432" spans="1:2">
      <c r="A432" s="24">
        <v>428</v>
      </c>
      <c r="B432" s="25"/>
    </row>
    <row r="433" spans="1:2">
      <c r="A433" s="24">
        <v>429</v>
      </c>
      <c r="B433" s="25"/>
    </row>
    <row r="434" spans="1:2">
      <c r="A434" s="24">
        <v>430</v>
      </c>
      <c r="B434" s="25"/>
    </row>
    <row r="435" spans="1:2">
      <c r="A435" s="24">
        <v>431</v>
      </c>
      <c r="B435" s="25"/>
    </row>
    <row r="436" spans="1:2">
      <c r="A436" s="24">
        <v>432</v>
      </c>
      <c r="B436" s="25"/>
    </row>
    <row r="437" spans="1:2">
      <c r="A437" s="24">
        <v>433</v>
      </c>
      <c r="B437" s="25"/>
    </row>
    <row r="438" spans="1:2">
      <c r="A438" s="24">
        <v>434</v>
      </c>
      <c r="B438" s="25"/>
    </row>
    <row r="439" spans="1:2">
      <c r="A439" s="24">
        <v>435</v>
      </c>
      <c r="B439" s="25"/>
    </row>
    <row r="440" spans="1:2">
      <c r="A440" s="24">
        <v>436</v>
      </c>
      <c r="B440" s="25"/>
    </row>
    <row r="441" spans="1:2">
      <c r="A441" s="24">
        <v>437</v>
      </c>
      <c r="B441" s="25"/>
    </row>
    <row r="442" spans="1:2">
      <c r="A442" s="24">
        <v>438</v>
      </c>
      <c r="B442" s="25"/>
    </row>
    <row r="443" spans="1:2">
      <c r="A443" s="24">
        <v>439</v>
      </c>
      <c r="B443" s="25"/>
    </row>
    <row r="444" spans="1:2">
      <c r="A444" s="24">
        <v>440</v>
      </c>
      <c r="B444" s="25"/>
    </row>
    <row r="445" spans="1:2">
      <c r="A445" s="24">
        <v>441</v>
      </c>
      <c r="B445" s="25"/>
    </row>
    <row r="446" spans="1:2">
      <c r="A446" s="24">
        <v>442</v>
      </c>
      <c r="B446" s="25"/>
    </row>
    <row r="447" spans="1:2">
      <c r="A447" s="24">
        <v>443</v>
      </c>
      <c r="B447" s="25"/>
    </row>
    <row r="448" spans="1:2">
      <c r="A448" s="24">
        <v>444</v>
      </c>
      <c r="B448" s="25"/>
    </row>
    <row r="449" spans="1:2">
      <c r="A449" s="24">
        <v>445</v>
      </c>
      <c r="B449" s="25"/>
    </row>
    <row r="450" spans="1:2">
      <c r="A450" s="24">
        <v>446</v>
      </c>
      <c r="B450" s="25"/>
    </row>
    <row r="451" spans="1:2">
      <c r="A451" s="24">
        <v>447</v>
      </c>
      <c r="B451" s="25"/>
    </row>
    <row r="452" spans="1:2">
      <c r="A452" s="24">
        <v>448</v>
      </c>
      <c r="B452" s="25"/>
    </row>
    <row r="453" spans="1:2">
      <c r="A453" s="24">
        <v>449</v>
      </c>
      <c r="B453" s="25"/>
    </row>
    <row r="454" spans="1:2">
      <c r="A454" s="24">
        <v>450</v>
      </c>
      <c r="B454" s="25"/>
    </row>
    <row r="455" spans="1:2">
      <c r="A455" s="24">
        <v>451</v>
      </c>
      <c r="B455" s="25"/>
    </row>
    <row r="456" spans="1:2">
      <c r="A456" s="24">
        <v>452</v>
      </c>
      <c r="B456" s="25"/>
    </row>
    <row r="457" spans="1:2">
      <c r="A457" s="24">
        <v>453</v>
      </c>
      <c r="B457" s="25"/>
    </row>
    <row r="458" spans="1:2">
      <c r="A458" s="24">
        <v>454</v>
      </c>
      <c r="B458" s="25"/>
    </row>
    <row r="459" spans="1:2">
      <c r="A459" s="24">
        <v>455</v>
      </c>
      <c r="B459" s="25"/>
    </row>
    <row r="460" spans="1:2">
      <c r="A460" s="24">
        <v>456</v>
      </c>
      <c r="B460" s="25"/>
    </row>
    <row r="461" spans="1:2">
      <c r="A461" s="24">
        <v>457</v>
      </c>
      <c r="B461" s="25"/>
    </row>
    <row r="462" spans="1:2">
      <c r="A462" s="24">
        <v>458</v>
      </c>
      <c r="B462" s="25"/>
    </row>
    <row r="463" spans="1:2">
      <c r="A463" s="24">
        <v>459</v>
      </c>
      <c r="B463" s="25"/>
    </row>
    <row r="464" spans="1:2">
      <c r="A464" s="24">
        <v>460</v>
      </c>
      <c r="B464" s="25"/>
    </row>
    <row r="465" spans="1:2">
      <c r="A465" s="24">
        <v>461</v>
      </c>
      <c r="B465" s="25"/>
    </row>
    <row r="466" spans="1:2">
      <c r="A466" s="24">
        <v>462</v>
      </c>
      <c r="B466" s="25"/>
    </row>
    <row r="467" spans="1:2">
      <c r="A467" s="24">
        <v>463</v>
      </c>
      <c r="B467" s="25"/>
    </row>
    <row r="468" spans="1:2">
      <c r="A468" s="24">
        <v>464</v>
      </c>
      <c r="B468" s="25"/>
    </row>
    <row r="469" spans="1:2">
      <c r="A469" s="24">
        <v>465</v>
      </c>
      <c r="B469" s="25"/>
    </row>
    <row r="470" spans="1:2">
      <c r="A470" s="24">
        <v>466</v>
      </c>
      <c r="B470" s="25"/>
    </row>
    <row r="471" spans="1:2">
      <c r="A471" s="24">
        <v>467</v>
      </c>
      <c r="B471" s="25"/>
    </row>
    <row r="472" spans="1:2">
      <c r="A472" s="24">
        <v>468</v>
      </c>
      <c r="B472" s="25"/>
    </row>
    <row r="473" spans="1:2">
      <c r="A473" s="24">
        <v>469</v>
      </c>
      <c r="B473" s="25"/>
    </row>
    <row r="474" spans="1:2">
      <c r="A474" s="24">
        <v>470</v>
      </c>
      <c r="B474" s="25"/>
    </row>
    <row r="475" spans="1:2">
      <c r="A475" s="24">
        <v>471</v>
      </c>
      <c r="B475" s="25"/>
    </row>
    <row r="476" spans="1:2">
      <c r="A476" s="24">
        <v>472</v>
      </c>
      <c r="B476" s="25"/>
    </row>
    <row r="477" spans="1:2">
      <c r="A477" s="24">
        <v>473</v>
      </c>
      <c r="B477" s="25"/>
    </row>
    <row r="478" spans="1:2">
      <c r="A478" s="24">
        <v>474</v>
      </c>
      <c r="B478" s="25"/>
    </row>
    <row r="479" spans="1:2">
      <c r="A479" s="24">
        <v>475</v>
      </c>
      <c r="B479" s="25"/>
    </row>
    <row r="480" spans="1:2">
      <c r="A480" s="24">
        <v>476</v>
      </c>
      <c r="B480" s="25"/>
    </row>
    <row r="481" spans="1:2">
      <c r="A481" s="24">
        <v>477</v>
      </c>
      <c r="B481" s="25"/>
    </row>
    <row r="482" spans="1:2">
      <c r="A482" s="24">
        <v>478</v>
      </c>
      <c r="B482" s="25"/>
    </row>
    <row r="483" spans="1:2">
      <c r="A483" s="24">
        <v>479</v>
      </c>
      <c r="B483" s="25"/>
    </row>
    <row r="484" spans="1:2">
      <c r="A484" s="24">
        <v>480</v>
      </c>
      <c r="B484" s="25"/>
    </row>
    <row r="485" spans="1:2">
      <c r="A485" s="24">
        <v>481</v>
      </c>
      <c r="B485" s="25"/>
    </row>
    <row r="486" spans="1:2">
      <c r="A486" s="24">
        <v>482</v>
      </c>
      <c r="B486" s="25"/>
    </row>
    <row r="487" spans="1:2">
      <c r="A487" s="24">
        <v>483</v>
      </c>
      <c r="B487" s="25"/>
    </row>
    <row r="488" spans="1:2">
      <c r="A488" s="24">
        <v>484</v>
      </c>
      <c r="B488" s="25"/>
    </row>
    <row r="489" spans="1:2">
      <c r="A489" s="24">
        <v>485</v>
      </c>
      <c r="B489" s="25"/>
    </row>
    <row r="490" spans="1:2">
      <c r="A490" s="24">
        <v>486</v>
      </c>
      <c r="B490" s="25"/>
    </row>
    <row r="491" spans="1:2">
      <c r="A491" s="24">
        <v>487</v>
      </c>
      <c r="B491" s="25"/>
    </row>
    <row r="492" spans="1:2">
      <c r="A492" s="24">
        <v>488</v>
      </c>
      <c r="B492" s="25"/>
    </row>
    <row r="493" spans="1:2">
      <c r="A493" s="24">
        <v>489</v>
      </c>
      <c r="B493" s="25"/>
    </row>
    <row r="494" spans="1:2">
      <c r="A494" s="24">
        <v>490</v>
      </c>
      <c r="B494" s="25"/>
    </row>
    <row r="495" spans="1:2">
      <c r="A495" s="24">
        <v>491</v>
      </c>
      <c r="B495" s="25"/>
    </row>
    <row r="496" spans="1:2">
      <c r="A496" s="24">
        <v>492</v>
      </c>
      <c r="B496" s="25"/>
    </row>
    <row r="497" spans="1:2">
      <c r="A497" s="24">
        <v>493</v>
      </c>
      <c r="B497" s="25"/>
    </row>
    <row r="498" spans="1:2">
      <c r="A498" s="24">
        <v>494</v>
      </c>
      <c r="B498" s="25"/>
    </row>
    <row r="499" spans="1:2">
      <c r="A499" s="24">
        <v>495</v>
      </c>
      <c r="B499" s="25"/>
    </row>
    <row r="500" spans="1:2">
      <c r="A500" s="24">
        <v>496</v>
      </c>
      <c r="B500" s="25"/>
    </row>
    <row r="501" spans="1:2">
      <c r="A501" s="24">
        <v>497</v>
      </c>
      <c r="B501" s="25"/>
    </row>
    <row r="502" spans="1:2">
      <c r="A502" s="24">
        <v>498</v>
      </c>
      <c r="B502" s="25"/>
    </row>
    <row r="503" spans="1:2">
      <c r="A503" s="24">
        <v>499</v>
      </c>
      <c r="B503" s="25"/>
    </row>
    <row r="504" spans="1:2">
      <c r="A504" s="24">
        <v>500</v>
      </c>
      <c r="B504" s="2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3397-933F-4834-8A55-73DA3F97D7C4}">
  <dimension ref="A4:O504"/>
  <sheetViews>
    <sheetView topLeftCell="A500" workbookViewId="0">
      <selection activeCell="A504" sqref="A504"/>
    </sheetView>
  </sheetViews>
  <sheetFormatPr baseColWidth="10" defaultColWidth="8.6640625" defaultRowHeight="16"/>
  <cols>
    <col min="1" max="1" width="8.6640625" style="24"/>
    <col min="2" max="2" width="9" style="24" bestFit="1" customWidth="1"/>
    <col min="3" max="16384" width="8.6640625" style="24"/>
  </cols>
  <sheetData>
    <row r="4" spans="1:15">
      <c r="D4" s="24">
        <v>-100</v>
      </c>
      <c r="N4" s="24">
        <v>-100</v>
      </c>
    </row>
    <row r="5" spans="1:15">
      <c r="A5" s="24">
        <v>1</v>
      </c>
      <c r="B5" s="25">
        <f ca="1">100*(sim!$C$3+NORMSINV(RAND())*sim!$C$4)</f>
        <v>2.1826996882079635</v>
      </c>
      <c r="D5" s="24">
        <v>-3</v>
      </c>
      <c r="E5" s="24" cm="1">
        <f t="array" aca="1" ref="E5" ca="1">SUMPRODUCT(IF($B$5:$B$504&gt;D4,1,0),IF($B$5:$B$504&lt;=D5,1,0))</f>
        <v>0</v>
      </c>
      <c r="N5" s="24">
        <v>-3</v>
      </c>
      <c r="O5" s="24" cm="1">
        <f t="array" aca="1" ref="O5" ca="1">SUMPRODUCT(IF($B$5:$B$504&gt;N4,1,0),IF($B$5:$B$504&lt;=N5,1,0))</f>
        <v>0</v>
      </c>
    </row>
    <row r="6" spans="1:15">
      <c r="A6" s="24">
        <v>2</v>
      </c>
      <c r="B6" s="25">
        <f ca="1">100*(sim!$C$3+NORMSINV(RAND())*sim!$C$4)</f>
        <v>2.949043917183384</v>
      </c>
      <c r="D6" s="24">
        <v>-2.9</v>
      </c>
      <c r="E6" s="24" cm="1">
        <f t="array" aca="1" ref="E6" ca="1">SUMPRODUCT(IF($B$5:$B$504&gt;D5,1,0),IF($B$5:$B$504&lt;=D6,1,0))</f>
        <v>0</v>
      </c>
      <c r="N6" s="24">
        <v>-2.75</v>
      </c>
      <c r="O6" s="24" cm="1">
        <f t="array" aca="1" ref="O6" ca="1">SUMPRODUCT(IF($B$5:$B$504&gt;N5,1,0),IF($B$5:$B$504&lt;=N6,1,0))</f>
        <v>0</v>
      </c>
    </row>
    <row r="7" spans="1:15">
      <c r="A7" s="24">
        <v>3</v>
      </c>
      <c r="B7" s="25">
        <f ca="1">100*(sim!$C$3+NORMSINV(RAND())*sim!$C$4)</f>
        <v>2.9952952843154343</v>
      </c>
      <c r="D7" s="24">
        <v>-2.8</v>
      </c>
      <c r="E7" s="24" cm="1">
        <f t="array" aca="1" ref="E7" ca="1">SUMPRODUCT(IF($B$5:$B$504&gt;D6,1,0),IF($B$5:$B$504&lt;=D7,1,0))</f>
        <v>0</v>
      </c>
      <c r="N7" s="24">
        <v>-2.5</v>
      </c>
      <c r="O7" s="24" cm="1">
        <f t="array" aca="1" ref="O7" ca="1">SUMPRODUCT(IF($B$5:$B$504&gt;N6,1,0),IF($B$5:$B$504&lt;=N7,1,0))</f>
        <v>0</v>
      </c>
    </row>
    <row r="8" spans="1:15">
      <c r="A8" s="24">
        <v>4</v>
      </c>
      <c r="B8" s="25">
        <f ca="1">100*(sim!$C$3+NORMSINV(RAND())*sim!$C$4)</f>
        <v>1.9662474570105275</v>
      </c>
      <c r="D8" s="24">
        <v>-2.7</v>
      </c>
      <c r="E8" s="24" cm="1">
        <f t="array" aca="1" ref="E8" ca="1">SUMPRODUCT(IF($B$5:$B$504&gt;D7,1,0),IF($B$5:$B$504&lt;=D8,1,0))</f>
        <v>0</v>
      </c>
      <c r="N8" s="24">
        <v>-2.25</v>
      </c>
      <c r="O8" s="24" cm="1">
        <f t="array" aca="1" ref="O8" ca="1">SUMPRODUCT(IF($B$5:$B$504&gt;N7,1,0),IF($B$5:$B$504&lt;=N8,1,0))</f>
        <v>0</v>
      </c>
    </row>
    <row r="9" spans="1:15">
      <c r="A9" s="24">
        <v>5</v>
      </c>
      <c r="B9" s="25">
        <f ca="1">100*(sim!$C$3+NORMSINV(RAND())*sim!$C$4)</f>
        <v>4.5106769082160696</v>
      </c>
      <c r="D9" s="24">
        <v>-2.6</v>
      </c>
      <c r="E9" s="24" cm="1">
        <f t="array" aca="1" ref="E9" ca="1">SUMPRODUCT(IF($B$5:$B$504&gt;D8,1,0),IF($B$5:$B$504&lt;=D9,1,0))</f>
        <v>0</v>
      </c>
      <c r="N9" s="24">
        <v>-2</v>
      </c>
      <c r="O9" s="24" cm="1">
        <f t="array" aca="1" ref="O9" ca="1">SUMPRODUCT(IF($B$5:$B$504&gt;N8,1,0),IF($B$5:$B$504&lt;=N9,1,0))</f>
        <v>0</v>
      </c>
    </row>
    <row r="10" spans="1:15">
      <c r="A10" s="24">
        <v>6</v>
      </c>
      <c r="B10" s="25">
        <f ca="1">100*(sim!$C$3+NORMSINV(RAND())*sim!$C$4)</f>
        <v>3.1063671710429617</v>
      </c>
      <c r="D10" s="24">
        <v>-2.5</v>
      </c>
      <c r="E10" s="24" cm="1">
        <f t="array" aca="1" ref="E10" ca="1">SUMPRODUCT(IF($B$5:$B$504&gt;D9,1,0),IF($B$5:$B$504&lt;=D10,1,0))</f>
        <v>0</v>
      </c>
      <c r="N10" s="24">
        <v>-1.75</v>
      </c>
      <c r="O10" s="24" cm="1">
        <f t="array" aca="1" ref="O10" ca="1">SUMPRODUCT(IF($B$5:$B$504&gt;N9,1,0),IF($B$5:$B$504&lt;=N10,1,0))</f>
        <v>0</v>
      </c>
    </row>
    <row r="11" spans="1:15">
      <c r="A11" s="24">
        <v>7</v>
      </c>
      <c r="B11" s="25">
        <f ca="1">100*(sim!$C$3+NORMSINV(RAND())*sim!$C$4)</f>
        <v>1.9614409057315845</v>
      </c>
      <c r="D11" s="24">
        <v>-2.4</v>
      </c>
      <c r="E11" s="24" cm="1">
        <f t="array" aca="1" ref="E11" ca="1">SUMPRODUCT(IF($B$5:$B$504&gt;D10,1,0),IF($B$5:$B$504&lt;=D11,1,0))</f>
        <v>0</v>
      </c>
      <c r="N11" s="24">
        <v>-1.5</v>
      </c>
      <c r="O11" s="24" cm="1">
        <f t="array" aca="1" ref="O11" ca="1">SUMPRODUCT(IF($B$5:$B$504&gt;N10,1,0),IF($B$5:$B$504&lt;=N11,1,0))</f>
        <v>0</v>
      </c>
    </row>
    <row r="12" spans="1:15">
      <c r="A12" s="24">
        <v>8</v>
      </c>
      <c r="B12" s="25">
        <f ca="1">100*(sim!$C$3+NORMSINV(RAND())*sim!$C$4)</f>
        <v>1.7792286485923587</v>
      </c>
      <c r="D12" s="24">
        <v>-2.2999999999999998</v>
      </c>
      <c r="E12" s="24" cm="1">
        <f t="array" aca="1" ref="E12" ca="1">SUMPRODUCT(IF($B$5:$B$504&gt;D11,1,0),IF($B$5:$B$504&lt;=D12,1,0))</f>
        <v>0</v>
      </c>
      <c r="N12" s="24">
        <v>-1.25</v>
      </c>
      <c r="O12" s="24" cm="1">
        <f t="array" aca="1" ref="O12" ca="1">SUMPRODUCT(IF($B$5:$B$504&gt;N11,1,0),IF($B$5:$B$504&lt;=N12,1,0))</f>
        <v>0</v>
      </c>
    </row>
    <row r="13" spans="1:15">
      <c r="A13" s="24">
        <v>9</v>
      </c>
      <c r="B13" s="25">
        <f ca="1">100*(sim!$C$3+NORMSINV(RAND())*sim!$C$4)</f>
        <v>2.9895623469467267</v>
      </c>
      <c r="D13" s="24">
        <v>-2.2000000000000002</v>
      </c>
      <c r="E13" s="24" cm="1">
        <f t="array" aca="1" ref="E13" ca="1">SUMPRODUCT(IF($B$5:$B$504&gt;D12,1,0),IF($B$5:$B$504&lt;=D13,1,0))</f>
        <v>0</v>
      </c>
      <c r="N13" s="24">
        <v>-1</v>
      </c>
      <c r="O13" s="24" cm="1">
        <f t="array" aca="1" ref="O13" ca="1">SUMPRODUCT(IF($B$5:$B$504&gt;N12,1,0),IF($B$5:$B$504&lt;=N13,1,0))</f>
        <v>1</v>
      </c>
    </row>
    <row r="14" spans="1:15">
      <c r="A14" s="24">
        <v>10</v>
      </c>
      <c r="B14" s="25">
        <f ca="1">100*(sim!$C$3+NORMSINV(RAND())*sim!$C$4)</f>
        <v>3.0992897685469569</v>
      </c>
      <c r="D14" s="24">
        <v>-2.1</v>
      </c>
      <c r="E14" s="24" cm="1">
        <f t="array" aca="1" ref="E14" ca="1">SUMPRODUCT(IF($B$5:$B$504&gt;D13,1,0),IF($B$5:$B$504&lt;=D14,1,0))</f>
        <v>0</v>
      </c>
      <c r="N14" s="24">
        <v>-0.75</v>
      </c>
      <c r="O14" s="24" cm="1">
        <f t="array" aca="1" ref="O14" ca="1">SUMPRODUCT(IF($B$5:$B$504&gt;N13,1,0),IF($B$5:$B$504&lt;=N14,1,0))</f>
        <v>0</v>
      </c>
    </row>
    <row r="15" spans="1:15">
      <c r="A15" s="24">
        <v>11</v>
      </c>
      <c r="B15" s="25">
        <f ca="1">100*(sim!$C$3+NORMSINV(RAND())*sim!$C$4)</f>
        <v>2.8283948435169637</v>
      </c>
      <c r="D15" s="24">
        <v>-2</v>
      </c>
      <c r="E15" s="24" cm="1">
        <f t="array" aca="1" ref="E15" ca="1">SUMPRODUCT(IF($B$5:$B$504&gt;D14,1,0),IF($B$5:$B$504&lt;=D15,1,0))</f>
        <v>0</v>
      </c>
      <c r="N15" s="24">
        <v>-0.5</v>
      </c>
      <c r="O15" s="24" cm="1">
        <f t="array" aca="1" ref="O15" ca="1">SUMPRODUCT(IF($B$5:$B$504&gt;N14,1,0),IF($B$5:$B$504&lt;=N15,1,0))</f>
        <v>1</v>
      </c>
    </row>
    <row r="16" spans="1:15">
      <c r="A16" s="24">
        <v>12</v>
      </c>
      <c r="B16" s="25">
        <f ca="1">100*(sim!$C$3+NORMSINV(RAND())*sim!$C$4)</f>
        <v>2.8560048867992323</v>
      </c>
      <c r="D16" s="24">
        <v>-1.9</v>
      </c>
      <c r="E16" s="24" cm="1">
        <f t="array" aca="1" ref="E16" ca="1">SUMPRODUCT(IF($B$5:$B$504&gt;D15,1,0),IF($B$5:$B$504&lt;=D16,1,0))</f>
        <v>0</v>
      </c>
      <c r="N16" s="24">
        <v>-0.25</v>
      </c>
      <c r="O16" s="24" cm="1">
        <f t="array" aca="1" ref="O16" ca="1">SUMPRODUCT(IF($B$5:$B$504&gt;N15,1,0),IF($B$5:$B$504&lt;=N16,1,0))</f>
        <v>3</v>
      </c>
    </row>
    <row r="17" spans="1:15">
      <c r="A17" s="24">
        <v>13</v>
      </c>
      <c r="B17" s="25">
        <f ca="1">100*(sim!$C$3+NORMSINV(RAND())*sim!$C$4)</f>
        <v>1.2242764172965979</v>
      </c>
      <c r="D17" s="24">
        <v>-1.8</v>
      </c>
      <c r="E17" s="24" cm="1">
        <f t="array" aca="1" ref="E17" ca="1">SUMPRODUCT(IF($B$5:$B$504&gt;D16,1,0),IF($B$5:$B$504&lt;=D17,1,0))</f>
        <v>0</v>
      </c>
      <c r="N17" s="24">
        <v>0</v>
      </c>
      <c r="O17" s="24" cm="1">
        <f t="array" aca="1" ref="O17" ca="1">SUMPRODUCT(IF($B$5:$B$504&gt;N16,1,0),IF($B$5:$B$504&lt;=N17,1,0))</f>
        <v>4</v>
      </c>
    </row>
    <row r="18" spans="1:15">
      <c r="A18" s="24">
        <v>14</v>
      </c>
      <c r="B18" s="25">
        <f ca="1">100*(sim!$C$3+NORMSINV(RAND())*sim!$C$4)</f>
        <v>3.8807217213815584</v>
      </c>
      <c r="D18" s="24">
        <v>-1.7</v>
      </c>
      <c r="E18" s="24" cm="1">
        <f t="array" aca="1" ref="E18" ca="1">SUMPRODUCT(IF($B$5:$B$504&gt;D17,1,0),IF($B$5:$B$504&lt;=D18,1,0))</f>
        <v>0</v>
      </c>
      <c r="N18" s="24">
        <v>0.25</v>
      </c>
      <c r="O18" s="24" cm="1">
        <f t="array" aca="1" ref="O18" ca="1">SUMPRODUCT(IF($B$5:$B$504&gt;N17,1,0),IF($B$5:$B$504&lt;=N18,1,0))</f>
        <v>10</v>
      </c>
    </row>
    <row r="19" spans="1:15">
      <c r="A19" s="24">
        <v>15</v>
      </c>
      <c r="B19" s="25">
        <f ca="1">100*(sim!$C$3+NORMSINV(RAND())*sim!$C$4)</f>
        <v>1.4823393807355867</v>
      </c>
      <c r="D19" s="24">
        <v>-1.6</v>
      </c>
      <c r="E19" s="24" cm="1">
        <f t="array" aca="1" ref="E19" ca="1">SUMPRODUCT(IF($B$5:$B$504&gt;D18,1,0),IF($B$5:$B$504&lt;=D19,1,0))</f>
        <v>0</v>
      </c>
      <c r="N19" s="24">
        <v>0.5</v>
      </c>
      <c r="O19" s="24" cm="1">
        <f t="array" aca="1" ref="O19" ca="1">SUMPRODUCT(IF($B$5:$B$504&gt;N18,1,0),IF($B$5:$B$504&lt;=N19,1,0))</f>
        <v>12</v>
      </c>
    </row>
    <row r="20" spans="1:15">
      <c r="A20" s="24">
        <v>16</v>
      </c>
      <c r="B20" s="25">
        <f ca="1">100*(sim!$C$3+NORMSINV(RAND())*sim!$C$4)</f>
        <v>1.9724063440429362</v>
      </c>
      <c r="D20" s="24">
        <v>-1.5</v>
      </c>
      <c r="E20" s="24" cm="1">
        <f t="array" aca="1" ref="E20" ca="1">SUMPRODUCT(IF($B$5:$B$504&gt;D19,1,0),IF($B$5:$B$504&lt;=D20,1,0))</f>
        <v>0</v>
      </c>
      <c r="N20" s="24">
        <v>0.75</v>
      </c>
      <c r="O20" s="24" cm="1">
        <f t="array" aca="1" ref="O20" ca="1">SUMPRODUCT(IF($B$5:$B$504&gt;N19,1,0),IF($B$5:$B$504&lt;=N20,1,0))</f>
        <v>23</v>
      </c>
    </row>
    <row r="21" spans="1:15">
      <c r="A21" s="24">
        <v>17</v>
      </c>
      <c r="B21" s="25">
        <f ca="1">100*(sim!$C$3+NORMSINV(RAND())*sim!$C$4)</f>
        <v>0.95670514204198087</v>
      </c>
      <c r="D21" s="24">
        <v>-1.4</v>
      </c>
      <c r="E21" s="24" cm="1">
        <f t="array" aca="1" ref="E21" ca="1">SUMPRODUCT(IF($B$5:$B$504&gt;D20,1,0),IF($B$5:$B$504&lt;=D21,1,0))</f>
        <v>0</v>
      </c>
      <c r="N21" s="24">
        <v>1</v>
      </c>
      <c r="O21" s="24" cm="1">
        <f t="array" aca="1" ref="O21" ca="1">SUMPRODUCT(IF($B$5:$B$504&gt;N20,1,0),IF($B$5:$B$504&lt;=N21,1,0))</f>
        <v>21</v>
      </c>
    </row>
    <row r="22" spans="1:15">
      <c r="A22" s="24">
        <v>18</v>
      </c>
      <c r="B22" s="25">
        <f ca="1">100*(sim!$C$3+NORMSINV(RAND())*sim!$C$4)</f>
        <v>1.0925268987964056</v>
      </c>
      <c r="D22" s="24">
        <v>-1.3</v>
      </c>
      <c r="E22" s="24" cm="1">
        <f t="array" aca="1" ref="E22" ca="1">SUMPRODUCT(IF($B$5:$B$504&gt;D21,1,0),IF($B$5:$B$504&lt;=D22,1,0))</f>
        <v>0</v>
      </c>
      <c r="N22" s="24">
        <v>1.25</v>
      </c>
      <c r="O22" s="24" cm="1">
        <f t="array" aca="1" ref="O22" ca="1">SUMPRODUCT(IF($B$5:$B$504&gt;N21,1,0),IF($B$5:$B$504&lt;=N22,1,0))</f>
        <v>40</v>
      </c>
    </row>
    <row r="23" spans="1:15">
      <c r="A23" s="24">
        <v>19</v>
      </c>
      <c r="B23" s="25">
        <f ca="1">100*(sim!$C$3+NORMSINV(RAND())*sim!$C$4)</f>
        <v>2.8818210527370951</v>
      </c>
      <c r="D23" s="24">
        <v>-1.2</v>
      </c>
      <c r="E23" s="24" cm="1">
        <f t="array" aca="1" ref="E23" ca="1">SUMPRODUCT(IF($B$5:$B$504&gt;D22,1,0),IF($B$5:$B$504&lt;=D23,1,0))</f>
        <v>0</v>
      </c>
      <c r="N23" s="24">
        <v>1.5</v>
      </c>
      <c r="O23" s="24" cm="1">
        <f t="array" aca="1" ref="O23" ca="1">SUMPRODUCT(IF($B$5:$B$504&gt;N22,1,0),IF($B$5:$B$504&lt;=N23,1,0))</f>
        <v>32</v>
      </c>
    </row>
    <row r="24" spans="1:15">
      <c r="A24" s="24">
        <v>20</v>
      </c>
      <c r="B24" s="25">
        <f ca="1">100*(sim!$C$3+NORMSINV(RAND())*sim!$C$4)</f>
        <v>1.7829883713762891</v>
      </c>
      <c r="D24" s="24">
        <v>-1.1000000000000001</v>
      </c>
      <c r="E24" s="24" cm="1">
        <f t="array" aca="1" ref="E24" ca="1">SUMPRODUCT(IF($B$5:$B$504&gt;D23,1,0),IF($B$5:$B$504&lt;=D24,1,0))</f>
        <v>0</v>
      </c>
      <c r="N24" s="24">
        <v>1.75</v>
      </c>
      <c r="O24" s="24" cm="1">
        <f t="array" aca="1" ref="O24" ca="1">SUMPRODUCT(IF($B$5:$B$504&gt;N23,1,0),IF($B$5:$B$504&lt;=N24,1,0))</f>
        <v>47</v>
      </c>
    </row>
    <row r="25" spans="1:15">
      <c r="A25" s="24">
        <v>21</v>
      </c>
      <c r="B25" s="25">
        <f ca="1">100*(sim!$C$3+NORMSINV(RAND())*sim!$C$4)</f>
        <v>1.5506283558200555</v>
      </c>
      <c r="D25" s="24">
        <v>-1</v>
      </c>
      <c r="E25" s="24" cm="1">
        <f t="array" aca="1" ref="E25" ca="1">SUMPRODUCT(IF($B$5:$B$504&gt;D24,1,0),IF($B$5:$B$504&lt;=D25,1,0))</f>
        <v>1</v>
      </c>
      <c r="N25" s="24">
        <v>2</v>
      </c>
      <c r="O25" s="24" cm="1">
        <f t="array" aca="1" ref="O25" ca="1">SUMPRODUCT(IF($B$5:$B$504&gt;N24,1,0),IF($B$5:$B$504&lt;=N25,1,0))</f>
        <v>54</v>
      </c>
    </row>
    <row r="26" spans="1:15">
      <c r="A26" s="24">
        <v>22</v>
      </c>
      <c r="B26" s="25">
        <f ca="1">100*(sim!$C$3+NORMSINV(RAND())*sim!$C$4)</f>
        <v>2.3557031101076937</v>
      </c>
      <c r="D26" s="24">
        <v>-0.9</v>
      </c>
      <c r="E26" s="24" cm="1">
        <f t="array" aca="1" ref="E26" ca="1">SUMPRODUCT(IF($B$5:$B$504&gt;D25,1,0),IF($B$5:$B$504&lt;=D26,1,0))</f>
        <v>0</v>
      </c>
      <c r="N26" s="24">
        <v>2.25</v>
      </c>
      <c r="O26" s="24" cm="1">
        <f t="array" aca="1" ref="O26" ca="1">SUMPRODUCT(IF($B$5:$B$504&gt;N25,1,0),IF($B$5:$B$504&lt;=N26,1,0))</f>
        <v>60</v>
      </c>
    </row>
    <row r="27" spans="1:15">
      <c r="A27" s="24">
        <v>23</v>
      </c>
      <c r="B27" s="25">
        <f ca="1">100*(sim!$C$3+NORMSINV(RAND())*sim!$C$4)</f>
        <v>0.77171073610884289</v>
      </c>
      <c r="D27" s="24">
        <v>-0.8</v>
      </c>
      <c r="E27" s="24" cm="1">
        <f t="array" aca="1" ref="E27" ca="1">SUMPRODUCT(IF($B$5:$B$504&gt;D26,1,0),IF($B$5:$B$504&lt;=D27,1,0))</f>
        <v>0</v>
      </c>
      <c r="N27" s="24">
        <v>2.5</v>
      </c>
      <c r="O27" s="24" cm="1">
        <f t="array" aca="1" ref="O27" ca="1">SUMPRODUCT(IF($B$5:$B$504&gt;N26,1,0),IF($B$5:$B$504&lt;=N27,1,0))</f>
        <v>45</v>
      </c>
    </row>
    <row r="28" spans="1:15">
      <c r="A28" s="24">
        <v>24</v>
      </c>
      <c r="B28" s="25">
        <f ca="1">100*(sim!$C$3+NORMSINV(RAND())*sim!$C$4)</f>
        <v>3.9540689998155178</v>
      </c>
      <c r="D28" s="24">
        <v>-0.7</v>
      </c>
      <c r="E28" s="24" cm="1">
        <f t="array" aca="1" ref="E28" ca="1">SUMPRODUCT(IF($B$5:$B$504&gt;D27,1,0),IF($B$5:$B$504&lt;=D28,1,0))</f>
        <v>1</v>
      </c>
      <c r="N28" s="24">
        <v>2.75</v>
      </c>
      <c r="O28" s="24" cm="1">
        <f t="array" aca="1" ref="O28" ca="1">SUMPRODUCT(IF($B$5:$B$504&gt;N27,1,0),IF($B$5:$B$504&lt;=N28,1,0))</f>
        <v>42</v>
      </c>
    </row>
    <row r="29" spans="1:15">
      <c r="A29" s="24">
        <v>25</v>
      </c>
      <c r="B29" s="25">
        <f ca="1">100*(sim!$C$3+NORMSINV(RAND())*sim!$C$4)</f>
        <v>2.3342468742904376</v>
      </c>
      <c r="D29" s="24">
        <v>-0.6</v>
      </c>
      <c r="E29" s="24" cm="1">
        <f t="array" aca="1" ref="E29" ca="1">SUMPRODUCT(IF($B$5:$B$504&gt;D28,1,0),IF($B$5:$B$504&lt;=D29,1,0))</f>
        <v>0</v>
      </c>
      <c r="N29" s="24">
        <v>3</v>
      </c>
      <c r="O29" s="24" cm="1">
        <f t="array" aca="1" ref="O29" ca="1">SUMPRODUCT(IF($B$5:$B$504&gt;N28,1,0),IF($B$5:$B$504&lt;=N29,1,0))</f>
        <v>42</v>
      </c>
    </row>
    <row r="30" spans="1:15">
      <c r="A30" s="24">
        <v>26</v>
      </c>
      <c r="B30" s="25">
        <f ca="1">100*(sim!$C$3+NORMSINV(RAND())*sim!$C$4)</f>
        <v>3.550499965807115</v>
      </c>
      <c r="D30" s="24">
        <v>-0.5</v>
      </c>
      <c r="E30" s="24" cm="1">
        <f t="array" aca="1" ref="E30" ca="1">SUMPRODUCT(IF($B$5:$B$504&gt;D29,1,0),IF($B$5:$B$504&lt;=D30,1,0))</f>
        <v>0</v>
      </c>
      <c r="I30" s="24" t="s">
        <v>16</v>
      </c>
      <c r="N30" s="24">
        <v>3.25</v>
      </c>
      <c r="O30" s="24" cm="1">
        <f t="array" aca="1" ref="O30" ca="1">SUMPRODUCT(IF($B$5:$B$504&gt;N29,1,0),IF($B$5:$B$504&lt;=N30,1,0))</f>
        <v>27</v>
      </c>
    </row>
    <row r="31" spans="1:15">
      <c r="A31" s="24">
        <v>27</v>
      </c>
      <c r="B31" s="25">
        <f ca="1">100*(sim!$C$3+NORMSINV(RAND())*sim!$C$4)</f>
        <v>1.5201626477087886</v>
      </c>
      <c r="D31" s="24">
        <v>-0.4</v>
      </c>
      <c r="E31" s="24" cm="1">
        <f t="array" aca="1" ref="E31" ca="1">SUMPRODUCT(IF($B$5:$B$504&gt;D30,1,0),IF($B$5:$B$504&lt;=D31,1,0))</f>
        <v>2</v>
      </c>
      <c r="N31" s="24">
        <v>3.5</v>
      </c>
      <c r="O31" s="24" cm="1">
        <f t="array" aca="1" ref="O31" ca="1">SUMPRODUCT(IF($B$5:$B$504&gt;N30,1,0),IF($B$5:$B$504&lt;=N31,1,0))</f>
        <v>9</v>
      </c>
    </row>
    <row r="32" spans="1:15">
      <c r="A32" s="24">
        <v>28</v>
      </c>
      <c r="B32" s="25">
        <f ca="1">100*(sim!$C$3+NORMSINV(RAND())*sim!$C$4)</f>
        <v>3.6341090388281359</v>
      </c>
      <c r="D32" s="24">
        <v>-0.3</v>
      </c>
      <c r="E32" s="24" cm="1">
        <f t="array" aca="1" ref="E32" ca="1">SUMPRODUCT(IF($B$5:$B$504&gt;D31,1,0),IF($B$5:$B$504&lt;=D32,1,0))</f>
        <v>0</v>
      </c>
      <c r="N32" s="24">
        <v>3.75</v>
      </c>
      <c r="O32" s="24" cm="1">
        <f t="array" aca="1" ref="O32" ca="1">SUMPRODUCT(IF($B$5:$B$504&gt;N31,1,0),IF($B$5:$B$504&lt;=N32,1,0))</f>
        <v>10</v>
      </c>
    </row>
    <row r="33" spans="1:15">
      <c r="A33" s="24">
        <v>29</v>
      </c>
      <c r="B33" s="25">
        <f ca="1">100*(sim!$C$3+NORMSINV(RAND())*sim!$C$4)</f>
        <v>1.8681350519456261</v>
      </c>
      <c r="D33" s="24">
        <v>-0.2</v>
      </c>
      <c r="E33" s="24" cm="1">
        <f t="array" aca="1" ref="E33" ca="1">SUMPRODUCT(IF($B$5:$B$504&gt;D32,1,0),IF($B$5:$B$504&lt;=D33,1,0))</f>
        <v>2</v>
      </c>
      <c r="N33" s="24">
        <v>4</v>
      </c>
      <c r="O33" s="24" cm="1">
        <f t="array" aca="1" ref="O33" ca="1">SUMPRODUCT(IF($B$5:$B$504&gt;N32,1,0),IF($B$5:$B$504&lt;=N33,1,0))</f>
        <v>9</v>
      </c>
    </row>
    <row r="34" spans="1:15">
      <c r="A34" s="24">
        <v>30</v>
      </c>
      <c r="B34" s="25">
        <f ca="1">100*(sim!$C$3+NORMSINV(RAND())*sim!$C$4)</f>
        <v>3.0912300473154088</v>
      </c>
      <c r="D34" s="24">
        <v>-0.1</v>
      </c>
      <c r="E34" s="24" cm="1">
        <f t="array" aca="1" ref="E34" ca="1">SUMPRODUCT(IF($B$5:$B$504&gt;D33,1,0),IF($B$5:$B$504&lt;=D34,1,0))</f>
        <v>0</v>
      </c>
      <c r="N34" s="24">
        <v>4.25</v>
      </c>
      <c r="O34" s="24" cm="1">
        <f t="array" aca="1" ref="O34" ca="1">SUMPRODUCT(IF($B$5:$B$504&gt;N33,1,0),IF($B$5:$B$504&lt;=N34,1,0))</f>
        <v>6</v>
      </c>
    </row>
    <row r="35" spans="1:15">
      <c r="A35" s="24">
        <v>31</v>
      </c>
      <c r="B35" s="25">
        <f ca="1">100*(sim!$C$3+NORMSINV(RAND())*sim!$C$4)</f>
        <v>1.4607709361881631</v>
      </c>
      <c r="D35" s="24">
        <v>0</v>
      </c>
      <c r="E35" s="24" cm="1">
        <f t="array" aca="1" ref="E35" ca="1">SUMPRODUCT(IF($B$5:$B$504&gt;D34,1,0),IF($B$5:$B$504&lt;=D35,1,0))</f>
        <v>3</v>
      </c>
      <c r="N35" s="24">
        <v>4.5</v>
      </c>
      <c r="O35" s="24" cm="1">
        <f t="array" aca="1" ref="O35" ca="1">SUMPRODUCT(IF($B$5:$B$504&gt;N34,1,0),IF($B$5:$B$504&lt;=N35,1,0))</f>
        <v>0</v>
      </c>
    </row>
    <row r="36" spans="1:15">
      <c r="A36" s="24">
        <v>32</v>
      </c>
      <c r="B36" s="25">
        <f ca="1">100*(sim!$C$3+NORMSINV(RAND())*sim!$C$4)</f>
        <v>1.4001765358448073</v>
      </c>
      <c r="D36" s="24">
        <v>0.1</v>
      </c>
      <c r="E36" s="24" cm="1">
        <f t="array" aca="1" ref="E36" ca="1">SUMPRODUCT(IF($B$5:$B$504&gt;D35,1,0),IF($B$5:$B$504&lt;=D36,1,0))</f>
        <v>2</v>
      </c>
      <c r="N36" s="24">
        <v>4.75</v>
      </c>
      <c r="O36" s="24" cm="1">
        <f t="array" aca="1" ref="O36" ca="1">SUMPRODUCT(IF($B$5:$B$504&gt;N35,1,0),IF($B$5:$B$504&lt;=N36,1,0))</f>
        <v>2</v>
      </c>
    </row>
    <row r="37" spans="1:15">
      <c r="A37" s="24">
        <v>33</v>
      </c>
      <c r="B37" s="25">
        <f ca="1">100*(sim!$C$3+NORMSINV(RAND())*sim!$C$4)</f>
        <v>2.491615115331776</v>
      </c>
      <c r="D37" s="24">
        <v>0.2</v>
      </c>
      <c r="E37" s="24" cm="1">
        <f t="array" aca="1" ref="E37" ca="1">SUMPRODUCT(IF($B$5:$B$504&gt;D36,1,0),IF($B$5:$B$504&lt;=D37,1,0))</f>
        <v>4</v>
      </c>
      <c r="N37" s="24">
        <v>5</v>
      </c>
      <c r="O37" s="24" cm="1">
        <f t="array" aca="1" ref="O37" ca="1">SUMPRODUCT(IF($B$5:$B$504&gt;N36,1,0),IF($B$5:$B$504&lt;=N37,1,0))</f>
        <v>0</v>
      </c>
    </row>
    <row r="38" spans="1:15">
      <c r="A38" s="24">
        <v>34</v>
      </c>
      <c r="B38" s="25">
        <f ca="1">100*(sim!$C$3+NORMSINV(RAND())*sim!$C$4)</f>
        <v>1.1877343851389144</v>
      </c>
      <c r="D38" s="24">
        <v>0.3</v>
      </c>
      <c r="E38" s="24" cm="1">
        <f t="array" aca="1" ref="E38" ca="1">SUMPRODUCT(IF($B$5:$B$504&gt;D37,1,0),IF($B$5:$B$504&lt;=D38,1,0))</f>
        <v>7</v>
      </c>
      <c r="N38"/>
      <c r="O38"/>
    </row>
    <row r="39" spans="1:15">
      <c r="A39" s="24">
        <v>35</v>
      </c>
      <c r="B39" s="25">
        <f ca="1">100*(sim!$C$3+NORMSINV(RAND())*sim!$C$4)</f>
        <v>2.518509903420719</v>
      </c>
      <c r="D39" s="24">
        <v>0.4</v>
      </c>
      <c r="E39" s="24" cm="1">
        <f t="array" aca="1" ref="E39" ca="1">SUMPRODUCT(IF($B$5:$B$504&gt;D38,1,0),IF($B$5:$B$504&lt;=D39,1,0))</f>
        <v>5</v>
      </c>
      <c r="N39"/>
      <c r="O39"/>
    </row>
    <row r="40" spans="1:15">
      <c r="A40" s="24">
        <v>36</v>
      </c>
      <c r="B40" s="25">
        <f ca="1">100*(sim!$C$3+NORMSINV(RAND())*sim!$C$4)</f>
        <v>3.1504487530891967</v>
      </c>
      <c r="D40" s="24">
        <v>0.5</v>
      </c>
      <c r="E40" s="24" cm="1">
        <f t="array" aca="1" ref="E40" ca="1">SUMPRODUCT(IF($B$5:$B$504&gt;D39,1,0),IF($B$5:$B$504&lt;=D40,1,0))</f>
        <v>4</v>
      </c>
      <c r="N40"/>
      <c r="O40"/>
    </row>
    <row r="41" spans="1:15">
      <c r="A41" s="24">
        <v>37</v>
      </c>
      <c r="B41" s="25">
        <f ca="1">100*(sim!$C$3+NORMSINV(RAND())*sim!$C$4)</f>
        <v>2.2677348024222783</v>
      </c>
      <c r="D41" s="24">
        <v>0.6</v>
      </c>
      <c r="E41" s="24" cm="1">
        <f t="array" aca="1" ref="E41" ca="1">SUMPRODUCT(IF($B$5:$B$504&gt;D40,1,0),IF($B$5:$B$504&lt;=D41,1,0))</f>
        <v>9</v>
      </c>
      <c r="N41"/>
      <c r="O41"/>
    </row>
    <row r="42" spans="1:15">
      <c r="A42" s="24">
        <v>38</v>
      </c>
      <c r="B42" s="25">
        <f ca="1">100*(sim!$C$3+NORMSINV(RAND())*sim!$C$4)</f>
        <v>1.5178075062732985</v>
      </c>
      <c r="D42" s="24">
        <v>0.7</v>
      </c>
      <c r="E42" s="24" cm="1">
        <f t="array" aca="1" ref="E42" ca="1">SUMPRODUCT(IF($B$5:$B$504&gt;D41,1,0),IF($B$5:$B$504&lt;=D42,1,0))</f>
        <v>9</v>
      </c>
      <c r="N42"/>
      <c r="O42"/>
    </row>
    <row r="43" spans="1:15">
      <c r="A43" s="24">
        <v>39</v>
      </c>
      <c r="B43" s="25">
        <f ca="1">100*(sim!$C$3+NORMSINV(RAND())*sim!$C$4)</f>
        <v>1.9258504077592691</v>
      </c>
      <c r="D43" s="24">
        <v>0.8</v>
      </c>
      <c r="E43" s="24" cm="1">
        <f t="array" aca="1" ref="E43" ca="1">SUMPRODUCT(IF($B$5:$B$504&gt;D42,1,0),IF($B$5:$B$504&lt;=D43,1,0))</f>
        <v>9</v>
      </c>
      <c r="N43"/>
      <c r="O43"/>
    </row>
    <row r="44" spans="1:15">
      <c r="A44" s="24">
        <v>40</v>
      </c>
      <c r="B44" s="25">
        <f ca="1">100*(sim!$C$3+NORMSINV(RAND())*sim!$C$4)</f>
        <v>1.5977856621395157</v>
      </c>
      <c r="D44" s="24">
        <v>0.9</v>
      </c>
      <c r="E44" s="24" cm="1">
        <f t="array" aca="1" ref="E44" ca="1">SUMPRODUCT(IF($B$5:$B$504&gt;D43,1,0),IF($B$5:$B$504&lt;=D44,1,0))</f>
        <v>8</v>
      </c>
      <c r="N44"/>
      <c r="O44"/>
    </row>
    <row r="45" spans="1:15">
      <c r="A45" s="24">
        <v>41</v>
      </c>
      <c r="B45" s="25">
        <f ca="1">100*(sim!$C$3+NORMSINV(RAND())*sim!$C$4)</f>
        <v>0.78147255109173919</v>
      </c>
      <c r="D45" s="24">
        <v>1</v>
      </c>
      <c r="E45" s="24" cm="1">
        <f t="array" aca="1" ref="E45" ca="1">SUMPRODUCT(IF($B$5:$B$504&gt;D44,1,0),IF($B$5:$B$504&lt;=D45,1,0))</f>
        <v>9</v>
      </c>
      <c r="N45"/>
      <c r="O45"/>
    </row>
    <row r="46" spans="1:15">
      <c r="A46" s="24">
        <v>42</v>
      </c>
      <c r="B46" s="25">
        <f ca="1">100*(sim!$C$3+NORMSINV(RAND())*sim!$C$4)</f>
        <v>2.2510305295196815</v>
      </c>
      <c r="D46" s="24">
        <v>1.1000000000000001</v>
      </c>
      <c r="E46" s="24" cm="1">
        <f t="array" aca="1" ref="E46" ca="1">SUMPRODUCT(IF($B$5:$B$504&gt;D45,1,0),IF($B$5:$B$504&lt;=D46,1,0))</f>
        <v>18</v>
      </c>
      <c r="N46"/>
      <c r="O46"/>
    </row>
    <row r="47" spans="1:15">
      <c r="A47" s="24">
        <v>43</v>
      </c>
      <c r="B47" s="25">
        <f ca="1">100*(sim!$C$3+NORMSINV(RAND())*sim!$C$4)</f>
        <v>2.0790131795147309</v>
      </c>
      <c r="D47" s="24">
        <v>1.2</v>
      </c>
      <c r="E47" s="24" cm="1">
        <f t="array" aca="1" ref="E47" ca="1">SUMPRODUCT(IF($B$5:$B$504&gt;D46,1,0),IF($B$5:$B$504&lt;=D47,1,0))</f>
        <v>13</v>
      </c>
      <c r="N47"/>
      <c r="O47"/>
    </row>
    <row r="48" spans="1:15">
      <c r="A48" s="24">
        <v>44</v>
      </c>
      <c r="B48" s="25">
        <f ca="1">100*(sim!$C$3+NORMSINV(RAND())*sim!$C$4)</f>
        <v>2.1710608542862202</v>
      </c>
      <c r="D48" s="24">
        <v>1.3</v>
      </c>
      <c r="E48" s="24" cm="1">
        <f t="array" aca="1" ref="E48" ca="1">SUMPRODUCT(IF($B$5:$B$504&gt;D47,1,0),IF($B$5:$B$504&lt;=D48,1,0))</f>
        <v>14</v>
      </c>
      <c r="N48"/>
      <c r="O48"/>
    </row>
    <row r="49" spans="1:15">
      <c r="A49" s="24">
        <v>45</v>
      </c>
      <c r="B49" s="25">
        <f ca="1">100*(sim!$C$3+NORMSINV(RAND())*sim!$C$4)</f>
        <v>1.5510790083728083</v>
      </c>
      <c r="D49" s="24">
        <v>1.4</v>
      </c>
      <c r="E49" s="24" cm="1">
        <f t="array" aca="1" ref="E49" ca="1">SUMPRODUCT(IF($B$5:$B$504&gt;D48,1,0),IF($B$5:$B$504&lt;=D49,1,0))</f>
        <v>14</v>
      </c>
      <c r="N49"/>
      <c r="O49"/>
    </row>
    <row r="50" spans="1:15">
      <c r="A50" s="24">
        <v>46</v>
      </c>
      <c r="B50" s="25">
        <f ca="1">100*(sim!$C$3+NORMSINV(RAND())*sim!$C$4)</f>
        <v>1.5202336005869972</v>
      </c>
      <c r="D50" s="24">
        <v>1.5</v>
      </c>
      <c r="E50" s="24" cm="1">
        <f t="array" aca="1" ref="E50" ca="1">SUMPRODUCT(IF($B$5:$B$504&gt;D49,1,0),IF($B$5:$B$504&lt;=D50,1,0))</f>
        <v>13</v>
      </c>
      <c r="N50"/>
      <c r="O50"/>
    </row>
    <row r="51" spans="1:15">
      <c r="A51" s="24">
        <v>47</v>
      </c>
      <c r="B51" s="25">
        <f ca="1">100*(sim!$C$3+NORMSINV(RAND())*sim!$C$4)</f>
        <v>4.2283116689107718</v>
      </c>
      <c r="D51" s="24">
        <v>1.6</v>
      </c>
      <c r="E51" s="24" cm="1">
        <f t="array" aca="1" ref="E51" ca="1">SUMPRODUCT(IF($B$5:$B$504&gt;D50,1,0),IF($B$5:$B$504&lt;=D51,1,0))</f>
        <v>20</v>
      </c>
      <c r="N51"/>
      <c r="O51"/>
    </row>
    <row r="52" spans="1:15">
      <c r="A52" s="24">
        <v>48</v>
      </c>
      <c r="B52" s="25">
        <f ca="1">100*(sim!$C$3+NORMSINV(RAND())*sim!$C$4)</f>
        <v>1.9829918880044202</v>
      </c>
      <c r="D52" s="24">
        <v>1.7</v>
      </c>
      <c r="E52" s="24" cm="1">
        <f t="array" aca="1" ref="E52" ca="1">SUMPRODUCT(IF($B$5:$B$504&gt;D51,1,0),IF($B$5:$B$504&lt;=D52,1,0))</f>
        <v>21</v>
      </c>
      <c r="N52"/>
      <c r="O52"/>
    </row>
    <row r="53" spans="1:15">
      <c r="A53" s="24">
        <v>49</v>
      </c>
      <c r="B53" s="25">
        <f ca="1">100*(sim!$C$3+NORMSINV(RAND())*sim!$C$4)</f>
        <v>2.35840529606436</v>
      </c>
      <c r="D53" s="24">
        <v>1.8</v>
      </c>
      <c r="E53" s="24" cm="1">
        <f t="array" aca="1" ref="E53" ca="1">SUMPRODUCT(IF($B$5:$B$504&gt;D52,1,0),IF($B$5:$B$504&lt;=D53,1,0))</f>
        <v>15</v>
      </c>
      <c r="N53"/>
      <c r="O53"/>
    </row>
    <row r="54" spans="1:15">
      <c r="A54" s="24">
        <v>50</v>
      </c>
      <c r="B54" s="25">
        <f ca="1">100*(sim!$C$3+NORMSINV(RAND())*sim!$C$4)</f>
        <v>3.5588184830895195</v>
      </c>
      <c r="D54" s="24">
        <v>1.9</v>
      </c>
      <c r="E54" s="24" cm="1">
        <f t="array" aca="1" ref="E54" ca="1">SUMPRODUCT(IF($B$5:$B$504&gt;D53,1,0),IF($B$5:$B$504&lt;=D54,1,0))</f>
        <v>21</v>
      </c>
      <c r="N54"/>
      <c r="O54"/>
    </row>
    <row r="55" spans="1:15">
      <c r="A55" s="24">
        <v>51</v>
      </c>
      <c r="B55" s="25">
        <f ca="1">100*(sim!$C$3+NORMSINV(RAND())*sim!$C$4)</f>
        <v>1.8433613623778113</v>
      </c>
      <c r="D55" s="24">
        <v>2</v>
      </c>
      <c r="E55" s="24" cm="1">
        <f t="array" aca="1" ref="E55" ca="1">SUMPRODUCT(IF($B$5:$B$504&gt;D54,1,0),IF($B$5:$B$504&lt;=D55,1,0))</f>
        <v>24</v>
      </c>
      <c r="N55"/>
      <c r="O55"/>
    </row>
    <row r="56" spans="1:15">
      <c r="A56" s="24">
        <v>52</v>
      </c>
      <c r="B56" s="25">
        <f ca="1">100*(sim!$C$3+NORMSINV(RAND())*sim!$C$4)</f>
        <v>1.2155779830666638</v>
      </c>
      <c r="D56" s="24">
        <v>2.1</v>
      </c>
      <c r="E56" s="24" cm="1">
        <f t="array" aca="1" ref="E56" ca="1">SUMPRODUCT(IF($B$5:$B$504&gt;D55,1,0),IF($B$5:$B$504&lt;=D56,1,0))</f>
        <v>25</v>
      </c>
      <c r="N56"/>
      <c r="O56"/>
    </row>
    <row r="57" spans="1:15">
      <c r="A57" s="24">
        <v>53</v>
      </c>
      <c r="B57" s="25">
        <f ca="1">100*(sim!$C$3+NORMSINV(RAND())*sim!$C$4)</f>
        <v>-0.70461042811540908</v>
      </c>
      <c r="D57" s="24">
        <v>2.2000000000000002</v>
      </c>
      <c r="E57" s="24" cm="1">
        <f t="array" aca="1" ref="E57" ca="1">SUMPRODUCT(IF($B$5:$B$504&gt;D56,1,0),IF($B$5:$B$504&lt;=D57,1,0))</f>
        <v>24</v>
      </c>
      <c r="N57"/>
      <c r="O57"/>
    </row>
    <row r="58" spans="1:15">
      <c r="A58" s="24">
        <v>54</v>
      </c>
      <c r="B58" s="25">
        <f ca="1">100*(sim!$C$3+NORMSINV(RAND())*sim!$C$4)</f>
        <v>0.4766298284758082</v>
      </c>
      <c r="D58" s="24">
        <v>2.2999999999999998</v>
      </c>
      <c r="E58" s="24" cm="1">
        <f t="array" aca="1" ref="E58" ca="1">SUMPRODUCT(IF($B$5:$B$504&gt;D57,1,0),IF($B$5:$B$504&lt;=D58,1,0))</f>
        <v>21</v>
      </c>
      <c r="N58"/>
      <c r="O58"/>
    </row>
    <row r="59" spans="1:15">
      <c r="A59" s="24">
        <v>55</v>
      </c>
      <c r="B59" s="25">
        <f ca="1">100*(sim!$C$3+NORMSINV(RAND())*sim!$C$4)</f>
        <v>2.3487105965692594</v>
      </c>
      <c r="D59" s="24">
        <v>2.4</v>
      </c>
      <c r="E59" s="24" cm="1">
        <f t="array" aca="1" ref="E59" ca="1">SUMPRODUCT(IF($B$5:$B$504&gt;D58,1,0),IF($B$5:$B$504&lt;=D59,1,0))</f>
        <v>18</v>
      </c>
      <c r="N59"/>
      <c r="O59"/>
    </row>
    <row r="60" spans="1:15">
      <c r="A60" s="24">
        <v>56</v>
      </c>
      <c r="B60" s="25">
        <f ca="1">100*(sim!$C$3+NORMSINV(RAND())*sim!$C$4)</f>
        <v>2.107345027141974</v>
      </c>
      <c r="D60" s="24">
        <v>2.5000000000000102</v>
      </c>
      <c r="E60" s="24" cm="1">
        <f t="array" aca="1" ref="E60" ca="1">SUMPRODUCT(IF($B$5:$B$504&gt;D59,1,0),IF($B$5:$B$504&lt;=D60,1,0))</f>
        <v>17</v>
      </c>
      <c r="N60"/>
      <c r="O60"/>
    </row>
    <row r="61" spans="1:15">
      <c r="A61" s="24">
        <v>57</v>
      </c>
      <c r="B61" s="25">
        <f ca="1">100*(sim!$C$3+NORMSINV(RAND())*sim!$C$4)</f>
        <v>3.8602048887803906</v>
      </c>
      <c r="D61" s="24">
        <v>2.6</v>
      </c>
      <c r="E61" s="24" cm="1">
        <f t="array" aca="1" ref="E61" ca="1">SUMPRODUCT(IF($B$5:$B$504&gt;D60,1,0),IF($B$5:$B$504&lt;=D61,1,0))</f>
        <v>17</v>
      </c>
      <c r="N61"/>
      <c r="O61"/>
    </row>
    <row r="62" spans="1:15">
      <c r="A62" s="24">
        <v>58</v>
      </c>
      <c r="B62" s="25">
        <f ca="1">100*(sim!$C$3+NORMSINV(RAND())*sim!$C$4)</f>
        <v>1.5608178908381178</v>
      </c>
      <c r="D62" s="24">
        <v>2.7</v>
      </c>
      <c r="E62" s="24" cm="1">
        <f t="array" aca="1" ref="E62" ca="1">SUMPRODUCT(IF($B$5:$B$504&gt;D61,1,0),IF($B$5:$B$504&lt;=D62,1,0))</f>
        <v>16</v>
      </c>
      <c r="N62"/>
      <c r="O62"/>
    </row>
    <row r="63" spans="1:15">
      <c r="A63" s="24">
        <v>59</v>
      </c>
      <c r="B63" s="25">
        <f ca="1">100*(sim!$C$3+NORMSINV(RAND())*sim!$C$4)</f>
        <v>2.7421790867263689</v>
      </c>
      <c r="D63" s="24">
        <v>2.80000000000001</v>
      </c>
      <c r="E63" s="24" cm="1">
        <f t="array" aca="1" ref="E63" ca="1">SUMPRODUCT(IF($B$5:$B$504&gt;D62,1,0),IF($B$5:$B$504&lt;=D63,1,0))</f>
        <v>19</v>
      </c>
      <c r="N63"/>
      <c r="O63"/>
    </row>
    <row r="64" spans="1:15">
      <c r="A64" s="24">
        <v>60</v>
      </c>
      <c r="B64" s="25">
        <f ca="1">100*(sim!$C$3+NORMSINV(RAND())*sim!$C$4)</f>
        <v>2.79677220879671</v>
      </c>
      <c r="D64" s="24">
        <v>2.9000000000000101</v>
      </c>
      <c r="E64" s="24" cm="1">
        <f t="array" aca="1" ref="E64" ca="1">SUMPRODUCT(IF($B$5:$B$504&gt;D63,1,0),IF($B$5:$B$504&lt;=D64,1,0))</f>
        <v>20</v>
      </c>
      <c r="N64"/>
      <c r="O64"/>
    </row>
    <row r="65" spans="1:15">
      <c r="A65" s="24">
        <v>61</v>
      </c>
      <c r="B65" s="25">
        <f ca="1">100*(sim!$C$3+NORMSINV(RAND())*sim!$C$4)</f>
        <v>0.12922933025807831</v>
      </c>
      <c r="D65" s="24">
        <v>3.0000000000000102</v>
      </c>
      <c r="E65" s="24" cm="1">
        <f t="array" aca="1" ref="E65" ca="1">SUMPRODUCT(IF($B$5:$B$504&gt;D64,1,0),IF($B$5:$B$504&lt;=D65,1,0))</f>
        <v>12</v>
      </c>
      <c r="N65"/>
      <c r="O65"/>
    </row>
    <row r="66" spans="1:15">
      <c r="A66" s="24">
        <v>62</v>
      </c>
      <c r="B66" s="25">
        <f ca="1">100*(sim!$C$3+NORMSINV(RAND())*sim!$C$4)</f>
        <v>1.9078451047351299</v>
      </c>
      <c r="D66" s="24">
        <v>3.1</v>
      </c>
      <c r="E66" s="24" cm="1">
        <f t="array" aca="1" ref="E66" ca="1">SUMPRODUCT(IF($B$5:$B$504&gt;D65,1,0),IF($B$5:$B$504&lt;=D66,1,0))</f>
        <v>12</v>
      </c>
      <c r="N66"/>
      <c r="O66"/>
    </row>
    <row r="67" spans="1:15">
      <c r="A67" s="24">
        <v>63</v>
      </c>
      <c r="B67" s="25">
        <f ca="1">100*(sim!$C$3+NORMSINV(RAND())*sim!$C$4)</f>
        <v>1.2871212498843914</v>
      </c>
      <c r="D67" s="24">
        <v>3.2000000000000099</v>
      </c>
      <c r="E67" s="24" cm="1">
        <f t="array" aca="1" ref="E67" ca="1">SUMPRODUCT(IF($B$5:$B$504&gt;D66,1,0),IF($B$5:$B$504&lt;=D67,1,0))</f>
        <v>11</v>
      </c>
      <c r="N67"/>
      <c r="O67"/>
    </row>
    <row r="68" spans="1:15">
      <c r="A68" s="24">
        <v>64</v>
      </c>
      <c r="B68" s="25">
        <f ca="1">100*(sim!$C$3+NORMSINV(RAND())*sim!$C$4)</f>
        <v>1.8970407693863041</v>
      </c>
      <c r="D68" s="24">
        <v>3.30000000000001</v>
      </c>
      <c r="E68" s="24" cm="1">
        <f t="array" aca="1" ref="E68" ca="1">SUMPRODUCT(IF($B$5:$B$504&gt;D67,1,0),IF($B$5:$B$504&lt;=D68,1,0))</f>
        <v>4</v>
      </c>
      <c r="N68"/>
      <c r="O68"/>
    </row>
    <row r="69" spans="1:15">
      <c r="A69" s="24">
        <v>65</v>
      </c>
      <c r="B69" s="25">
        <f ca="1">100*(sim!$C$3+NORMSINV(RAND())*sim!$C$4)</f>
        <v>3.0328463655222806</v>
      </c>
      <c r="D69" s="24">
        <v>3.4000000000000101</v>
      </c>
      <c r="E69" s="24" cm="1">
        <f t="array" aca="1" ref="E69" ca="1">SUMPRODUCT(IF($B$5:$B$504&gt;D68,1,0),IF($B$5:$B$504&lt;=D69,1,0))</f>
        <v>5</v>
      </c>
      <c r="N69"/>
      <c r="O69"/>
    </row>
    <row r="70" spans="1:15">
      <c r="A70" s="24">
        <v>66</v>
      </c>
      <c r="B70" s="25">
        <f ca="1">100*(sim!$C$3+NORMSINV(RAND())*sim!$C$4)</f>
        <v>2.526189393795049</v>
      </c>
      <c r="D70" s="24">
        <v>3.5000000000000102</v>
      </c>
      <c r="E70" s="24" cm="1">
        <f t="array" aca="1" ref="E70" ca="1">SUMPRODUCT(IF($B$5:$B$504&gt;D69,1,0),IF($B$5:$B$504&lt;=D70,1,0))</f>
        <v>4</v>
      </c>
      <c r="N70"/>
      <c r="O70"/>
    </row>
    <row r="71" spans="1:15">
      <c r="A71" s="24">
        <v>67</v>
      </c>
      <c r="B71" s="25">
        <f ca="1">100*(sim!$C$3+NORMSINV(RAND())*sim!$C$4)</f>
        <v>1.1568217616337502</v>
      </c>
      <c r="D71" s="24">
        <v>3.6000000000000099</v>
      </c>
      <c r="E71" s="24" cm="1">
        <f t="array" aca="1" ref="E71" ca="1">SUMPRODUCT(IF($B$5:$B$504&gt;D70,1,0),IF($B$5:$B$504&lt;=D71,1,0))</f>
        <v>6</v>
      </c>
      <c r="N71"/>
      <c r="O71"/>
    </row>
    <row r="72" spans="1:15">
      <c r="A72" s="24">
        <v>68</v>
      </c>
      <c r="B72" s="25">
        <f ca="1">100*(sim!$C$3+NORMSINV(RAND())*sim!$C$4)</f>
        <v>2.8168836945380811</v>
      </c>
      <c r="D72" s="24">
        <v>3.7000000000000099</v>
      </c>
      <c r="E72" s="24" cm="1">
        <f t="array" aca="1" ref="E72" ca="1">SUMPRODUCT(IF($B$5:$B$504&gt;D71,1,0),IF($B$5:$B$504&lt;=D72,1,0))</f>
        <v>4</v>
      </c>
      <c r="N72"/>
      <c r="O72"/>
    </row>
    <row r="73" spans="1:15">
      <c r="A73" s="24">
        <v>69</v>
      </c>
      <c r="B73" s="25">
        <f ca="1">100*(sim!$C$3+NORMSINV(RAND())*sim!$C$4)</f>
        <v>1.6821606696521958</v>
      </c>
      <c r="D73" s="24">
        <v>3.80000000000001</v>
      </c>
      <c r="E73" s="24" cm="1">
        <f t="array" aca="1" ref="E73" ca="1">SUMPRODUCT(IF($B$5:$B$504&gt;D72,1,0),IF($B$5:$B$504&lt;=D73,1,0))</f>
        <v>1</v>
      </c>
      <c r="N73"/>
      <c r="O73"/>
    </row>
    <row r="74" spans="1:15">
      <c r="A74" s="24">
        <v>70</v>
      </c>
      <c r="B74" s="25">
        <f ca="1">100*(sim!$C$3+NORMSINV(RAND())*sim!$C$4)</f>
        <v>1.4853303764617365</v>
      </c>
      <c r="D74" s="24">
        <v>3.9000000000000101</v>
      </c>
      <c r="E74" s="24" cm="1">
        <f t="array" aca="1" ref="E74" ca="1">SUMPRODUCT(IF($B$5:$B$504&gt;D73,1,0),IF($B$5:$B$504&lt;=D74,1,0))</f>
        <v>4</v>
      </c>
      <c r="N74"/>
      <c r="O74"/>
    </row>
    <row r="75" spans="1:15">
      <c r="A75" s="24">
        <v>71</v>
      </c>
      <c r="B75" s="25">
        <f ca="1">100*(sim!$C$3+NORMSINV(RAND())*sim!$C$4)</f>
        <v>3.1002657334912427</v>
      </c>
      <c r="D75" s="24">
        <v>4.0000000000000098</v>
      </c>
      <c r="E75" s="24" cm="1">
        <f t="array" aca="1" ref="E75" ca="1">SUMPRODUCT(IF($B$5:$B$504&gt;D74,1,0),IF($B$5:$B$504&lt;=D75,1,0))</f>
        <v>4</v>
      </c>
      <c r="N75"/>
      <c r="O75"/>
    </row>
    <row r="76" spans="1:15">
      <c r="A76" s="24">
        <v>72</v>
      </c>
      <c r="B76" s="25">
        <f ca="1">100*(sim!$C$3+NORMSINV(RAND())*sim!$C$4)</f>
        <v>1.8156146331374023</v>
      </c>
      <c r="D76" s="24">
        <v>4.1000000000000103</v>
      </c>
      <c r="E76" s="24" cm="1">
        <f t="array" aca="1" ref="E76" ca="1">SUMPRODUCT(IF($B$5:$B$504&gt;D75,1,0),IF($B$5:$B$504&lt;=D76,1,0))</f>
        <v>2</v>
      </c>
      <c r="N76"/>
      <c r="O76"/>
    </row>
    <row r="77" spans="1:15">
      <c r="A77" s="24">
        <v>73</v>
      </c>
      <c r="B77" s="25">
        <f ca="1">100*(sim!$C$3+NORMSINV(RAND())*sim!$C$4)</f>
        <v>2.4718862641875408</v>
      </c>
      <c r="D77" s="24">
        <v>4.2000000000000099</v>
      </c>
      <c r="E77" s="24" cm="1">
        <f t="array" aca="1" ref="E77" ca="1">SUMPRODUCT(IF($B$5:$B$504&gt;D76,1,0),IF($B$5:$B$504&lt;=D77,1,0))</f>
        <v>1</v>
      </c>
      <c r="N77"/>
      <c r="O77"/>
    </row>
    <row r="78" spans="1:15">
      <c r="A78" s="24">
        <v>74</v>
      </c>
      <c r="B78" s="25">
        <f ca="1">100*(sim!$C$3+NORMSINV(RAND())*sim!$C$4)</f>
        <v>1.0390545483250329</v>
      </c>
      <c r="D78" s="24">
        <v>4.3000000000000096</v>
      </c>
      <c r="E78" s="24" cm="1">
        <f t="array" aca="1" ref="E78" ca="1">SUMPRODUCT(IF($B$5:$B$504&gt;D77,1,0),IF($B$5:$B$504&lt;=D78,1,0))</f>
        <v>3</v>
      </c>
      <c r="N78"/>
      <c r="O78"/>
    </row>
    <row r="79" spans="1:15">
      <c r="A79" s="24">
        <v>75</v>
      </c>
      <c r="B79" s="25">
        <f ca="1">100*(sim!$C$3+NORMSINV(RAND())*sim!$C$4)</f>
        <v>3.0097785629281524</v>
      </c>
      <c r="D79" s="24">
        <v>4.4000000000000101</v>
      </c>
      <c r="E79" s="24" cm="1">
        <f t="array" aca="1" ref="E79" ca="1">SUMPRODUCT(IF($B$5:$B$504&gt;D78,1,0),IF($B$5:$B$504&lt;=D79,1,0))</f>
        <v>0</v>
      </c>
      <c r="N79"/>
      <c r="O79"/>
    </row>
    <row r="80" spans="1:15">
      <c r="A80" s="24">
        <v>76</v>
      </c>
      <c r="B80" s="25">
        <f ca="1">100*(sim!$C$3+NORMSINV(RAND())*sim!$C$4)</f>
        <v>4.2023454987288069</v>
      </c>
      <c r="D80" s="24">
        <v>4.5000000000000098</v>
      </c>
      <c r="E80" s="24" cm="1">
        <f t="array" aca="1" ref="E80" ca="1">SUMPRODUCT(IF($B$5:$B$504&gt;D79,1,0),IF($B$5:$B$504&lt;=D80,1,0))</f>
        <v>0</v>
      </c>
      <c r="N80"/>
      <c r="O80"/>
    </row>
    <row r="81" spans="1:15">
      <c r="A81" s="24">
        <v>77</v>
      </c>
      <c r="B81" s="25">
        <f ca="1">100*(sim!$C$3+NORMSINV(RAND())*sim!$C$4)</f>
        <v>5.6222504427037856E-2</v>
      </c>
      <c r="D81" s="24">
        <v>4.6000000000000103</v>
      </c>
      <c r="E81" s="24" cm="1">
        <f t="array" aca="1" ref="E81" ca="1">SUMPRODUCT(IF($B$5:$B$504&gt;D80,1,0),IF($B$5:$B$504&lt;=D81,1,0))</f>
        <v>2</v>
      </c>
      <c r="N81"/>
      <c r="O81"/>
    </row>
    <row r="82" spans="1:15">
      <c r="A82" s="24">
        <v>78</v>
      </c>
      <c r="B82" s="25">
        <f ca="1">100*(sim!$C$3+NORMSINV(RAND())*sim!$C$4)</f>
        <v>1.1098127740648822</v>
      </c>
      <c r="D82" s="24">
        <v>4.7000000000000099</v>
      </c>
      <c r="E82" s="24" cm="1">
        <f t="array" aca="1" ref="E82" ca="1">SUMPRODUCT(IF($B$5:$B$504&gt;D81,1,0),IF($B$5:$B$504&lt;=D82,1,0))</f>
        <v>0</v>
      </c>
      <c r="N82"/>
      <c r="O82"/>
    </row>
    <row r="83" spans="1:15">
      <c r="A83" s="24">
        <v>79</v>
      </c>
      <c r="B83" s="25">
        <f ca="1">100*(sim!$C$3+NORMSINV(RAND())*sim!$C$4)</f>
        <v>0.50944169533497596</v>
      </c>
      <c r="D83" s="24">
        <v>4.8000000000000096</v>
      </c>
      <c r="E83" s="24" cm="1">
        <f t="array" aca="1" ref="E83" ca="1">SUMPRODUCT(IF($B$5:$B$504&gt;D82,1,0),IF($B$5:$B$504&lt;=D83,1,0))</f>
        <v>0</v>
      </c>
      <c r="N83"/>
      <c r="O83"/>
    </row>
    <row r="84" spans="1:15">
      <c r="A84" s="24">
        <v>80</v>
      </c>
      <c r="B84" s="25">
        <f ca="1">100*(sim!$C$3+NORMSINV(RAND())*sim!$C$4)</f>
        <v>1.9556203197966078</v>
      </c>
      <c r="D84" s="24">
        <v>4.9000000000000101</v>
      </c>
      <c r="E84" s="24" cm="1">
        <f t="array" aca="1" ref="E84" ca="1">SUMPRODUCT(IF($B$5:$B$504&gt;D83,1,0),IF($B$5:$B$504&lt;=D84,1,0))</f>
        <v>0</v>
      </c>
      <c r="N84"/>
      <c r="O84"/>
    </row>
    <row r="85" spans="1:15">
      <c r="A85" s="24">
        <v>81</v>
      </c>
      <c r="B85" s="25">
        <f ca="1">100*(sim!$C$3+NORMSINV(RAND())*sim!$C$4)</f>
        <v>2.0388193593527828</v>
      </c>
      <c r="D85" s="24">
        <v>5.0000000000000098</v>
      </c>
      <c r="E85" s="24" cm="1">
        <f t="array" aca="1" ref="E85" ca="1">SUMPRODUCT(IF($B$5:$B$504&gt;D84,1,0),IF($B$5:$B$504&lt;=D85,1,0))</f>
        <v>0</v>
      </c>
      <c r="N85"/>
      <c r="O85"/>
    </row>
    <row r="86" spans="1:15">
      <c r="A86" s="24">
        <v>82</v>
      </c>
      <c r="B86" s="25">
        <f ca="1">100*(sim!$C$3+NORMSINV(RAND())*sim!$C$4)</f>
        <v>2.088103220510733</v>
      </c>
      <c r="D86" s="24">
        <v>100</v>
      </c>
      <c r="E86" s="24" cm="1">
        <f t="array" aca="1" ref="E86" ca="1">SUMPRODUCT(IF($B$5:$B$504&gt;D85,1,0),IF($B$5:$B$504&lt;=D86,1,0))</f>
        <v>0</v>
      </c>
      <c r="N86"/>
      <c r="O86"/>
    </row>
    <row r="87" spans="1:15">
      <c r="A87" s="24">
        <v>83</v>
      </c>
      <c r="B87" s="25">
        <f ca="1">100*(sim!$C$3+NORMSINV(RAND())*sim!$C$4)</f>
        <v>1.9822028745552709</v>
      </c>
    </row>
    <row r="88" spans="1:15">
      <c r="A88" s="24">
        <v>84</v>
      </c>
      <c r="B88" s="25">
        <f ca="1">100*(sim!$C$3+NORMSINV(RAND())*sim!$C$4)</f>
        <v>0.17074905350516095</v>
      </c>
    </row>
    <row r="89" spans="1:15">
      <c r="A89" s="24">
        <v>85</v>
      </c>
      <c r="B89" s="25">
        <f ca="1">100*(sim!$C$3+NORMSINV(RAND())*sim!$C$4)</f>
        <v>2.8647046095204733</v>
      </c>
    </row>
    <row r="90" spans="1:15">
      <c r="A90" s="24">
        <v>86</v>
      </c>
      <c r="B90" s="25">
        <f ca="1">100*(sim!$C$3+NORMSINV(RAND())*sim!$C$4)</f>
        <v>2.3123350471409054</v>
      </c>
    </row>
    <row r="91" spans="1:15">
      <c r="A91" s="24">
        <v>87</v>
      </c>
      <c r="B91" s="25">
        <f ca="1">100*(sim!$C$3+NORMSINV(RAND())*sim!$C$4)</f>
        <v>2.0975179920172637</v>
      </c>
    </row>
    <row r="92" spans="1:15">
      <c r="A92" s="24">
        <v>88</v>
      </c>
      <c r="B92" s="25">
        <f ca="1">100*(sim!$C$3+NORMSINV(RAND())*sim!$C$4)</f>
        <v>2.156896721944848</v>
      </c>
    </row>
    <row r="93" spans="1:15">
      <c r="A93" s="24">
        <v>89</v>
      </c>
      <c r="B93" s="25">
        <f ca="1">100*(sim!$C$3+NORMSINV(RAND())*sim!$C$4)</f>
        <v>2.2392363037204652</v>
      </c>
    </row>
    <row r="94" spans="1:15">
      <c r="A94" s="24">
        <v>90</v>
      </c>
      <c r="B94" s="25">
        <f ca="1">100*(sim!$C$3+NORMSINV(RAND())*sim!$C$4)</f>
        <v>3.5636845576433815</v>
      </c>
    </row>
    <row r="95" spans="1:15">
      <c r="A95" s="24">
        <v>91</v>
      </c>
      <c r="B95" s="25">
        <f ca="1">100*(sim!$C$3+NORMSINV(RAND())*sim!$C$4)</f>
        <v>3.0403010941187185</v>
      </c>
    </row>
    <row r="96" spans="1:15">
      <c r="A96" s="24">
        <v>92</v>
      </c>
      <c r="B96" s="25">
        <f ca="1">100*(sim!$C$3+NORMSINV(RAND())*sim!$C$4)</f>
        <v>2.0444663200711806</v>
      </c>
    </row>
    <row r="97" spans="1:2">
      <c r="A97" s="24">
        <v>93</v>
      </c>
      <c r="B97" s="25">
        <f ca="1">100*(sim!$C$3+NORMSINV(RAND())*sim!$C$4)</f>
        <v>2.4037713706751158</v>
      </c>
    </row>
    <row r="98" spans="1:2">
      <c r="A98" s="24">
        <v>94</v>
      </c>
      <c r="B98" s="25">
        <f ca="1">100*(sim!$C$3+NORMSINV(RAND())*sim!$C$4)</f>
        <v>1.0699324419082301</v>
      </c>
    </row>
    <row r="99" spans="1:2">
      <c r="A99" s="24">
        <v>95</v>
      </c>
      <c r="B99" s="25">
        <f ca="1">100*(sim!$C$3+NORMSINV(RAND())*sim!$C$4)</f>
        <v>2.1523904962427278</v>
      </c>
    </row>
    <row r="100" spans="1:2">
      <c r="A100" s="24">
        <v>96</v>
      </c>
      <c r="B100" s="25">
        <f ca="1">100*(sim!$C$3+NORMSINV(RAND())*sim!$C$4)</f>
        <v>3.0256811524743266</v>
      </c>
    </row>
    <row r="101" spans="1:2">
      <c r="A101" s="24">
        <v>97</v>
      </c>
      <c r="B101" s="25">
        <f ca="1">100*(sim!$C$3+NORMSINV(RAND())*sim!$C$4)</f>
        <v>0.33989854850795875</v>
      </c>
    </row>
    <row r="102" spans="1:2">
      <c r="A102" s="24">
        <v>98</v>
      </c>
      <c r="B102" s="25">
        <f ca="1">100*(sim!$C$3+NORMSINV(RAND())*sim!$C$4)</f>
        <v>1.5107108047894677</v>
      </c>
    </row>
    <row r="103" spans="1:2">
      <c r="A103" s="24">
        <v>99</v>
      </c>
      <c r="B103" s="25">
        <f ca="1">100*(sim!$C$3+NORMSINV(RAND())*sim!$C$4)</f>
        <v>1.2932266670671217</v>
      </c>
    </row>
    <row r="104" spans="1:2">
      <c r="A104" s="24">
        <v>100</v>
      </c>
      <c r="B104" s="25">
        <f ca="1">100*(sim!$C$3+NORMSINV(RAND())*sim!$C$4)</f>
        <v>2.4427728213853426</v>
      </c>
    </row>
    <row r="105" spans="1:2">
      <c r="A105" s="24">
        <v>101</v>
      </c>
      <c r="B105" s="25">
        <f ca="1">100*(sim!$C$3+NORMSINV(RAND())*sim!$C$4)</f>
        <v>1.0752676276544448</v>
      </c>
    </row>
    <row r="106" spans="1:2">
      <c r="A106" s="24">
        <v>102</v>
      </c>
      <c r="B106" s="25">
        <f ca="1">100*(sim!$C$3+NORMSINV(RAND())*sim!$C$4)</f>
        <v>3.0683973637031228</v>
      </c>
    </row>
    <row r="107" spans="1:2">
      <c r="A107" s="24">
        <v>103</v>
      </c>
      <c r="B107" s="25">
        <f ca="1">100*(sim!$C$3+NORMSINV(RAND())*sim!$C$4)</f>
        <v>2.1566272912055595</v>
      </c>
    </row>
    <row r="108" spans="1:2">
      <c r="A108" s="24">
        <v>104</v>
      </c>
      <c r="B108" s="25">
        <f ca="1">100*(sim!$C$3+NORMSINV(RAND())*sim!$C$4)</f>
        <v>2.4919366392431015</v>
      </c>
    </row>
    <row r="109" spans="1:2">
      <c r="A109" s="24">
        <v>105</v>
      </c>
      <c r="B109" s="25">
        <f ca="1">100*(sim!$C$3+NORMSINV(RAND())*sim!$C$4)</f>
        <v>1.6514262520376461</v>
      </c>
    </row>
    <row r="110" spans="1:2">
      <c r="A110" s="24">
        <v>106</v>
      </c>
      <c r="B110" s="25">
        <f ca="1">100*(sim!$C$3+NORMSINV(RAND())*sim!$C$4)</f>
        <v>2.1735813624917841</v>
      </c>
    </row>
    <row r="111" spans="1:2">
      <c r="A111" s="24">
        <v>107</v>
      </c>
      <c r="B111" s="25">
        <f ca="1">100*(sim!$C$3+NORMSINV(RAND())*sim!$C$4)</f>
        <v>8.6540474711886001E-2</v>
      </c>
    </row>
    <row r="112" spans="1:2">
      <c r="A112" s="24">
        <v>108</v>
      </c>
      <c r="B112" s="25">
        <f ca="1">100*(sim!$C$3+NORMSINV(RAND())*sim!$C$4)</f>
        <v>3.0092663017707091</v>
      </c>
    </row>
    <row r="113" spans="1:2">
      <c r="A113" s="24">
        <v>109</v>
      </c>
      <c r="B113" s="25">
        <f ca="1">100*(sim!$C$3+NORMSINV(RAND())*sim!$C$4)</f>
        <v>3.9353248699455943</v>
      </c>
    </row>
    <row r="114" spans="1:2">
      <c r="A114" s="24">
        <v>110</v>
      </c>
      <c r="B114" s="25">
        <f ca="1">100*(sim!$C$3+NORMSINV(RAND())*sim!$C$4)</f>
        <v>0.89368631930222486</v>
      </c>
    </row>
    <row r="115" spans="1:2">
      <c r="A115" s="24">
        <v>111</v>
      </c>
      <c r="B115" s="25">
        <f ca="1">100*(sim!$C$3+NORMSINV(RAND())*sim!$C$4)</f>
        <v>3.3236159106114784</v>
      </c>
    </row>
    <row r="116" spans="1:2">
      <c r="A116" s="24">
        <v>112</v>
      </c>
      <c r="B116" s="25">
        <f ca="1">100*(sim!$C$3+NORMSINV(RAND())*sim!$C$4)</f>
        <v>0.26630257782587763</v>
      </c>
    </row>
    <row r="117" spans="1:2">
      <c r="A117" s="24">
        <v>113</v>
      </c>
      <c r="B117" s="25">
        <f ca="1">100*(sim!$C$3+NORMSINV(RAND())*sim!$C$4)</f>
        <v>2.136847331647727</v>
      </c>
    </row>
    <row r="118" spans="1:2">
      <c r="A118" s="24">
        <v>114</v>
      </c>
      <c r="B118" s="25">
        <f ca="1">100*(sim!$C$3+NORMSINV(RAND())*sim!$C$4)</f>
        <v>3.117955256753834</v>
      </c>
    </row>
    <row r="119" spans="1:2">
      <c r="A119" s="24">
        <v>115</v>
      </c>
      <c r="B119" s="25">
        <f ca="1">100*(sim!$C$3+NORMSINV(RAND())*sim!$C$4)</f>
        <v>2.0418857930452115</v>
      </c>
    </row>
    <row r="120" spans="1:2">
      <c r="A120" s="24">
        <v>116</v>
      </c>
      <c r="B120" s="25">
        <f ca="1">100*(sim!$C$3+NORMSINV(RAND())*sim!$C$4)</f>
        <v>3.2096452046017547</v>
      </c>
    </row>
    <row r="121" spans="1:2">
      <c r="A121" s="24">
        <v>117</v>
      </c>
      <c r="B121" s="25">
        <f ca="1">100*(sim!$C$3+NORMSINV(RAND())*sim!$C$4)</f>
        <v>2.3486808853640828</v>
      </c>
    </row>
    <row r="122" spans="1:2">
      <c r="A122" s="24">
        <v>118</v>
      </c>
      <c r="B122" s="25">
        <f ca="1">100*(sim!$C$3+NORMSINV(RAND())*sim!$C$4)</f>
        <v>2.2336870609018349</v>
      </c>
    </row>
    <row r="123" spans="1:2">
      <c r="A123" s="24">
        <v>119</v>
      </c>
      <c r="B123" s="25">
        <f ca="1">100*(sim!$C$3+NORMSINV(RAND())*sim!$C$4)</f>
        <v>1.9554734878714424</v>
      </c>
    </row>
    <row r="124" spans="1:2">
      <c r="A124" s="24">
        <v>120</v>
      </c>
      <c r="B124" s="25">
        <f ca="1">100*(sim!$C$3+NORMSINV(RAND())*sim!$C$4)</f>
        <v>3.1722656162651011</v>
      </c>
    </row>
    <row r="125" spans="1:2">
      <c r="A125" s="24">
        <v>121</v>
      </c>
      <c r="B125" s="25">
        <f ca="1">100*(sim!$C$3+NORMSINV(RAND())*sim!$C$4)</f>
        <v>2.2388686532575024</v>
      </c>
    </row>
    <row r="126" spans="1:2">
      <c r="A126" s="24">
        <v>122</v>
      </c>
      <c r="B126" s="25">
        <f ca="1">100*(sim!$C$3+NORMSINV(RAND())*sim!$C$4)</f>
        <v>1.2234576835641175</v>
      </c>
    </row>
    <row r="127" spans="1:2">
      <c r="A127" s="24">
        <v>123</v>
      </c>
      <c r="B127" s="25">
        <f ca="1">100*(sim!$C$3+NORMSINV(RAND())*sim!$C$4)</f>
        <v>2.586240059633528</v>
      </c>
    </row>
    <row r="128" spans="1:2">
      <c r="A128" s="24">
        <v>124</v>
      </c>
      <c r="B128" s="25">
        <f ca="1">100*(sim!$C$3+NORMSINV(RAND())*sim!$C$4)</f>
        <v>0.59005684348623011</v>
      </c>
    </row>
    <row r="129" spans="1:2">
      <c r="A129" s="24">
        <v>125</v>
      </c>
      <c r="B129" s="25">
        <f ca="1">100*(sim!$C$3+NORMSINV(RAND())*sim!$C$4)</f>
        <v>3.14402267472384</v>
      </c>
    </row>
    <row r="130" spans="1:2">
      <c r="A130" s="24">
        <v>126</v>
      </c>
      <c r="B130" s="25">
        <f ca="1">100*(sim!$C$3+NORMSINV(RAND())*sim!$C$4)</f>
        <v>2.6343605820379494</v>
      </c>
    </row>
    <row r="131" spans="1:2">
      <c r="A131" s="24">
        <v>127</v>
      </c>
      <c r="B131" s="25">
        <f ca="1">100*(sim!$C$3+NORMSINV(RAND())*sim!$C$4)</f>
        <v>2.2236039782887183</v>
      </c>
    </row>
    <row r="132" spans="1:2">
      <c r="A132" s="24">
        <v>128</v>
      </c>
      <c r="B132" s="25">
        <f ca="1">100*(sim!$C$3+NORMSINV(RAND())*sim!$C$4)</f>
        <v>0.86018662412927027</v>
      </c>
    </row>
    <row r="133" spans="1:2">
      <c r="A133" s="24">
        <v>129</v>
      </c>
      <c r="B133" s="25">
        <f ca="1">100*(sim!$C$3+NORMSINV(RAND())*sim!$C$4)</f>
        <v>2.2316029131213879</v>
      </c>
    </row>
    <row r="134" spans="1:2">
      <c r="A134" s="24">
        <v>130</v>
      </c>
      <c r="B134" s="25">
        <f ca="1">100*(sim!$C$3+NORMSINV(RAND())*sim!$C$4)</f>
        <v>1.02570645898366</v>
      </c>
    </row>
    <row r="135" spans="1:2">
      <c r="A135" s="24">
        <v>131</v>
      </c>
      <c r="B135" s="25">
        <f ca="1">100*(sim!$C$3+NORMSINV(RAND())*sim!$C$4)</f>
        <v>0.78512470066221862</v>
      </c>
    </row>
    <row r="136" spans="1:2">
      <c r="A136" s="24">
        <v>132</v>
      </c>
      <c r="B136" s="25">
        <f ca="1">100*(sim!$C$3+NORMSINV(RAND())*sim!$C$4)</f>
        <v>0.51752078505997423</v>
      </c>
    </row>
    <row r="137" spans="1:2">
      <c r="A137" s="24">
        <v>133</v>
      </c>
      <c r="B137" s="25">
        <f ca="1">100*(sim!$C$3+NORMSINV(RAND())*sim!$C$4)</f>
        <v>2.2634624557927574</v>
      </c>
    </row>
    <row r="138" spans="1:2">
      <c r="A138" s="24">
        <v>134</v>
      </c>
      <c r="B138" s="25">
        <f ca="1">100*(sim!$C$3+NORMSINV(RAND())*sim!$C$4)</f>
        <v>2.9343923040851978</v>
      </c>
    </row>
    <row r="139" spans="1:2">
      <c r="A139" s="24">
        <v>135</v>
      </c>
      <c r="B139" s="25">
        <f ca="1">100*(sim!$C$3+NORMSINV(RAND())*sim!$C$4)</f>
        <v>2.2162543601769054</v>
      </c>
    </row>
    <row r="140" spans="1:2">
      <c r="A140" s="24">
        <v>136</v>
      </c>
      <c r="B140" s="25">
        <f ca="1">100*(sim!$C$3+NORMSINV(RAND())*sim!$C$4)</f>
        <v>2.8539129019515088</v>
      </c>
    </row>
    <row r="141" spans="1:2">
      <c r="A141" s="24">
        <v>137</v>
      </c>
      <c r="B141" s="25">
        <f ca="1">100*(sim!$C$3+NORMSINV(RAND())*sim!$C$4)</f>
        <v>2.4532930137956805</v>
      </c>
    </row>
    <row r="142" spans="1:2">
      <c r="A142" s="24">
        <v>138</v>
      </c>
      <c r="B142" s="25">
        <f ca="1">100*(sim!$C$3+NORMSINV(RAND())*sim!$C$4)</f>
        <v>1.8366673625284646</v>
      </c>
    </row>
    <row r="143" spans="1:2">
      <c r="A143" s="24">
        <v>139</v>
      </c>
      <c r="B143" s="25">
        <f ca="1">100*(sim!$C$3+NORMSINV(RAND())*sim!$C$4)</f>
        <v>1.6216653081223411</v>
      </c>
    </row>
    <row r="144" spans="1:2">
      <c r="A144" s="24">
        <v>140</v>
      </c>
      <c r="B144" s="25">
        <f ca="1">100*(sim!$C$3+NORMSINV(RAND())*sim!$C$4)</f>
        <v>1.9978157362987168</v>
      </c>
    </row>
    <row r="145" spans="1:2">
      <c r="A145" s="24">
        <v>141</v>
      </c>
      <c r="B145" s="25">
        <f ca="1">100*(sim!$C$3+NORMSINV(RAND())*sim!$C$4)</f>
        <v>2.0100083490233867</v>
      </c>
    </row>
    <row r="146" spans="1:2">
      <c r="A146" s="24">
        <v>142</v>
      </c>
      <c r="B146" s="25">
        <f ca="1">100*(sim!$C$3+NORMSINV(RAND())*sim!$C$4)</f>
        <v>2.3153354313916834</v>
      </c>
    </row>
    <row r="147" spans="1:2">
      <c r="A147" s="24">
        <v>143</v>
      </c>
      <c r="B147" s="25">
        <f ca="1">100*(sim!$C$3+NORMSINV(RAND())*sim!$C$4)</f>
        <v>2.151990234823022</v>
      </c>
    </row>
    <row r="148" spans="1:2">
      <c r="A148" s="24">
        <v>144</v>
      </c>
      <c r="B148" s="25">
        <f ca="1">100*(sim!$C$3+NORMSINV(RAND())*sim!$C$4)</f>
        <v>1.8522952540310298</v>
      </c>
    </row>
    <row r="149" spans="1:2">
      <c r="A149" s="24">
        <v>145</v>
      </c>
      <c r="B149" s="25">
        <f ca="1">100*(sim!$C$3+NORMSINV(RAND())*sim!$C$4)</f>
        <v>2.4781866298103008</v>
      </c>
    </row>
    <row r="150" spans="1:2">
      <c r="A150" s="24">
        <v>146</v>
      </c>
      <c r="B150" s="25">
        <f ca="1">100*(sim!$C$3+NORMSINV(RAND())*sim!$C$4)</f>
        <v>1.0220072920566368</v>
      </c>
    </row>
    <row r="151" spans="1:2">
      <c r="A151" s="24">
        <v>147</v>
      </c>
      <c r="B151" s="25">
        <f ca="1">100*(sim!$C$3+NORMSINV(RAND())*sim!$C$4)</f>
        <v>1.4804626735959747</v>
      </c>
    </row>
    <row r="152" spans="1:2">
      <c r="A152" s="24">
        <v>148</v>
      </c>
      <c r="B152" s="25">
        <f ca="1">100*(sim!$C$3+NORMSINV(RAND())*sim!$C$4)</f>
        <v>3.5908134226516162</v>
      </c>
    </row>
    <row r="153" spans="1:2">
      <c r="A153" s="24">
        <v>149</v>
      </c>
      <c r="B153" s="25">
        <f ca="1">100*(sim!$C$3+NORMSINV(RAND())*sim!$C$4)</f>
        <v>-0.23957031782293609</v>
      </c>
    </row>
    <row r="154" spans="1:2">
      <c r="A154" s="24">
        <v>150</v>
      </c>
      <c r="B154" s="25">
        <f ca="1">100*(sim!$C$3+NORMSINV(RAND())*sim!$C$4)</f>
        <v>1.4571177173817456</v>
      </c>
    </row>
    <row r="155" spans="1:2">
      <c r="A155" s="24">
        <v>151</v>
      </c>
      <c r="B155" s="25">
        <f ca="1">100*(sim!$C$3+NORMSINV(RAND())*sim!$C$4)</f>
        <v>0.89829841495900498</v>
      </c>
    </row>
    <row r="156" spans="1:2">
      <c r="A156" s="24">
        <v>152</v>
      </c>
      <c r="B156" s="25">
        <f ca="1">100*(sim!$C$3+NORMSINV(RAND())*sim!$C$4)</f>
        <v>1.6573822292838065</v>
      </c>
    </row>
    <row r="157" spans="1:2">
      <c r="A157" s="24">
        <v>153</v>
      </c>
      <c r="B157" s="25">
        <f ca="1">100*(sim!$C$3+NORMSINV(RAND())*sim!$C$4)</f>
        <v>1.4748871886571899</v>
      </c>
    </row>
    <row r="158" spans="1:2">
      <c r="A158" s="24">
        <v>154</v>
      </c>
      <c r="B158" s="25">
        <f ca="1">100*(sim!$C$3+NORMSINV(RAND())*sim!$C$4)</f>
        <v>2.3366501157955866</v>
      </c>
    </row>
    <row r="159" spans="1:2">
      <c r="A159" s="24">
        <v>155</v>
      </c>
      <c r="B159" s="25">
        <f ca="1">100*(sim!$C$3+NORMSINV(RAND())*sim!$C$4)</f>
        <v>3.3155168916355575</v>
      </c>
    </row>
    <row r="160" spans="1:2">
      <c r="A160" s="24">
        <v>156</v>
      </c>
      <c r="B160" s="25">
        <f ca="1">100*(sim!$C$3+NORMSINV(RAND())*sim!$C$4)</f>
        <v>2.7889837543995633</v>
      </c>
    </row>
    <row r="161" spans="1:2">
      <c r="A161" s="24">
        <v>157</v>
      </c>
      <c r="B161" s="25">
        <f ca="1">100*(sim!$C$3+NORMSINV(RAND())*sim!$C$4)</f>
        <v>1.8992738988671674</v>
      </c>
    </row>
    <row r="162" spans="1:2">
      <c r="A162" s="24">
        <v>158</v>
      </c>
      <c r="B162" s="25">
        <f ca="1">100*(sim!$C$3+NORMSINV(RAND())*sim!$C$4)</f>
        <v>-0.27382273644158855</v>
      </c>
    </row>
    <row r="163" spans="1:2">
      <c r="A163" s="24">
        <v>159</v>
      </c>
      <c r="B163" s="25">
        <f ca="1">100*(sim!$C$3+NORMSINV(RAND())*sim!$C$4)</f>
        <v>2.6999624121290347</v>
      </c>
    </row>
    <row r="164" spans="1:2">
      <c r="A164" s="24">
        <v>160</v>
      </c>
      <c r="B164" s="25">
        <f ca="1">100*(sim!$C$3+NORMSINV(RAND())*sim!$C$4)</f>
        <v>1.5653743920277348</v>
      </c>
    </row>
    <row r="165" spans="1:2">
      <c r="A165" s="24">
        <v>161</v>
      </c>
      <c r="B165" s="25">
        <f ca="1">100*(sim!$C$3+NORMSINV(RAND())*sim!$C$4)</f>
        <v>0.81738811874643458</v>
      </c>
    </row>
    <row r="166" spans="1:2">
      <c r="A166" s="24">
        <v>162</v>
      </c>
      <c r="B166" s="25">
        <f ca="1">100*(sim!$C$3+NORMSINV(RAND())*sim!$C$4)</f>
        <v>4.2043406783642947</v>
      </c>
    </row>
    <row r="167" spans="1:2">
      <c r="A167" s="24">
        <v>163</v>
      </c>
      <c r="B167" s="25">
        <f ca="1">100*(sim!$C$3+NORMSINV(RAND())*sim!$C$4)</f>
        <v>2.828208028289112</v>
      </c>
    </row>
    <row r="168" spans="1:2">
      <c r="A168" s="24">
        <v>164</v>
      </c>
      <c r="B168" s="25">
        <f ca="1">100*(sim!$C$3+NORMSINV(RAND())*sim!$C$4)</f>
        <v>2.5855597852412799</v>
      </c>
    </row>
    <row r="169" spans="1:2">
      <c r="A169" s="24">
        <v>165</v>
      </c>
      <c r="B169" s="25">
        <f ca="1">100*(sim!$C$3+NORMSINV(RAND())*sim!$C$4)</f>
        <v>2.6544986768927474</v>
      </c>
    </row>
    <row r="170" spans="1:2">
      <c r="A170" s="24">
        <v>166</v>
      </c>
      <c r="B170" s="25">
        <f ca="1">100*(sim!$C$3+NORMSINV(RAND())*sim!$C$4)</f>
        <v>2.0314207067305863</v>
      </c>
    </row>
    <row r="171" spans="1:2">
      <c r="A171" s="24">
        <v>167</v>
      </c>
      <c r="B171" s="25">
        <f ca="1">100*(sim!$C$3+NORMSINV(RAND())*sim!$C$4)</f>
        <v>0.5345638397587319</v>
      </c>
    </row>
    <row r="172" spans="1:2">
      <c r="A172" s="24">
        <v>168</v>
      </c>
      <c r="B172" s="25">
        <f ca="1">100*(sim!$C$3+NORMSINV(RAND())*sim!$C$4)</f>
        <v>2.8175511806114772</v>
      </c>
    </row>
    <row r="173" spans="1:2">
      <c r="A173" s="24">
        <v>169</v>
      </c>
      <c r="B173" s="25">
        <f ca="1">100*(sim!$C$3+NORMSINV(RAND())*sim!$C$4)</f>
        <v>2.0918104020081176</v>
      </c>
    </row>
    <row r="174" spans="1:2">
      <c r="A174" s="24">
        <v>170</v>
      </c>
      <c r="B174" s="25">
        <f ca="1">100*(sim!$C$3+NORMSINV(RAND())*sim!$C$4)</f>
        <v>1.8113814754929756</v>
      </c>
    </row>
    <row r="175" spans="1:2">
      <c r="A175" s="24">
        <v>171</v>
      </c>
      <c r="B175" s="25">
        <f ca="1">100*(sim!$C$3+NORMSINV(RAND())*sim!$C$4)</f>
        <v>2.2686515713818189</v>
      </c>
    </row>
    <row r="176" spans="1:2">
      <c r="A176" s="24">
        <v>172</v>
      </c>
      <c r="B176" s="25">
        <f ca="1">100*(sim!$C$3+NORMSINV(RAND())*sim!$C$4)</f>
        <v>1.232765625401576</v>
      </c>
    </row>
    <row r="177" spans="1:2">
      <c r="A177" s="24">
        <v>173</v>
      </c>
      <c r="B177" s="25">
        <f ca="1">100*(sim!$C$3+NORMSINV(RAND())*sim!$C$4)</f>
        <v>1.9125076832358701</v>
      </c>
    </row>
    <row r="178" spans="1:2">
      <c r="A178" s="24">
        <v>174</v>
      </c>
      <c r="B178" s="25">
        <f ca="1">100*(sim!$C$3+NORMSINV(RAND())*sim!$C$4)</f>
        <v>1.6188284160254203</v>
      </c>
    </row>
    <row r="179" spans="1:2">
      <c r="A179" s="24">
        <v>175</v>
      </c>
      <c r="B179" s="25">
        <f ca="1">100*(sim!$C$3+NORMSINV(RAND())*sim!$C$4)</f>
        <v>1.6381157016461114</v>
      </c>
    </row>
    <row r="180" spans="1:2">
      <c r="A180" s="24">
        <v>176</v>
      </c>
      <c r="B180" s="25">
        <f ca="1">100*(sim!$C$3+NORMSINV(RAND())*sim!$C$4)</f>
        <v>0.92886512634409302</v>
      </c>
    </row>
    <row r="181" spans="1:2">
      <c r="A181" s="24">
        <v>177</v>
      </c>
      <c r="B181" s="25">
        <f ca="1">100*(sim!$C$3+NORMSINV(RAND())*sim!$C$4)</f>
        <v>2.145849012699784</v>
      </c>
    </row>
    <row r="182" spans="1:2">
      <c r="A182" s="24">
        <v>178</v>
      </c>
      <c r="B182" s="25">
        <f ca="1">100*(sim!$C$3+NORMSINV(RAND())*sim!$C$4)</f>
        <v>1.1118002819441892</v>
      </c>
    </row>
    <row r="183" spans="1:2">
      <c r="A183" s="24">
        <v>179</v>
      </c>
      <c r="B183" s="25">
        <f ca="1">100*(sim!$C$3+NORMSINV(RAND())*sim!$C$4)</f>
        <v>0.24864981639395392</v>
      </c>
    </row>
    <row r="184" spans="1:2">
      <c r="A184" s="24">
        <v>180</v>
      </c>
      <c r="B184" s="25">
        <f ca="1">100*(sim!$C$3+NORMSINV(RAND())*sim!$C$4)</f>
        <v>2.2405986228317056</v>
      </c>
    </row>
    <row r="185" spans="1:2">
      <c r="A185" s="24">
        <v>181</v>
      </c>
      <c r="B185" s="25">
        <f ca="1">100*(sim!$C$3+NORMSINV(RAND())*sim!$C$4)</f>
        <v>0.7294385363088518</v>
      </c>
    </row>
    <row r="186" spans="1:2">
      <c r="A186" s="24">
        <v>182</v>
      </c>
      <c r="B186" s="25">
        <f ca="1">100*(sim!$C$3+NORMSINV(RAND())*sim!$C$4)</f>
        <v>0.63490782435834048</v>
      </c>
    </row>
    <row r="187" spans="1:2">
      <c r="A187" s="24">
        <v>183</v>
      </c>
      <c r="B187" s="25">
        <f ca="1">100*(sim!$C$3+NORMSINV(RAND())*sim!$C$4)</f>
        <v>2.9374668311860361</v>
      </c>
    </row>
    <row r="188" spans="1:2">
      <c r="A188" s="24">
        <v>184</v>
      </c>
      <c r="B188" s="25">
        <f ca="1">100*(sim!$C$3+NORMSINV(RAND())*sim!$C$4)</f>
        <v>2.4829937216358453</v>
      </c>
    </row>
    <row r="189" spans="1:2">
      <c r="A189" s="24">
        <v>185</v>
      </c>
      <c r="B189" s="25">
        <f ca="1">100*(sim!$C$3+NORMSINV(RAND())*sim!$C$4)</f>
        <v>1.1429624919817565</v>
      </c>
    </row>
    <row r="190" spans="1:2">
      <c r="A190" s="24">
        <v>186</v>
      </c>
      <c r="B190" s="25">
        <f ca="1">100*(sim!$C$3+NORMSINV(RAND())*sim!$C$4)</f>
        <v>1.3818777591149121</v>
      </c>
    </row>
    <row r="191" spans="1:2">
      <c r="A191" s="24">
        <v>187</v>
      </c>
      <c r="B191" s="25">
        <f ca="1">100*(sim!$C$3+NORMSINV(RAND())*sim!$C$4)</f>
        <v>3.1912862304487586</v>
      </c>
    </row>
    <row r="192" spans="1:2">
      <c r="A192" s="24">
        <v>188</v>
      </c>
      <c r="B192" s="25">
        <f ca="1">100*(sim!$C$3+NORMSINV(RAND())*sim!$C$4)</f>
        <v>2.8979217896043719</v>
      </c>
    </row>
    <row r="193" spans="1:2">
      <c r="A193" s="24">
        <v>189</v>
      </c>
      <c r="B193" s="25">
        <f ca="1">100*(sim!$C$3+NORMSINV(RAND())*sim!$C$4)</f>
        <v>2.3323914388280005</v>
      </c>
    </row>
    <row r="194" spans="1:2">
      <c r="A194" s="24">
        <v>190</v>
      </c>
      <c r="B194" s="25">
        <f ca="1">100*(sim!$C$3+NORMSINV(RAND())*sim!$C$4)</f>
        <v>1.3955288718428893</v>
      </c>
    </row>
    <row r="195" spans="1:2">
      <c r="A195" s="24">
        <v>191</v>
      </c>
      <c r="B195" s="25">
        <f ca="1">100*(sim!$C$3+NORMSINV(RAND())*sim!$C$4)</f>
        <v>2.9586283330480052</v>
      </c>
    </row>
    <row r="196" spans="1:2">
      <c r="A196" s="24">
        <v>192</v>
      </c>
      <c r="B196" s="25">
        <f ca="1">100*(sim!$C$3+NORMSINV(RAND())*sim!$C$4)</f>
        <v>2.9667572645288236</v>
      </c>
    </row>
    <row r="197" spans="1:2">
      <c r="A197" s="24">
        <v>193</v>
      </c>
      <c r="B197" s="25">
        <f ca="1">100*(sim!$C$3+NORMSINV(RAND())*sim!$C$4)</f>
        <v>0.93921556758856872</v>
      </c>
    </row>
    <row r="198" spans="1:2">
      <c r="A198" s="24">
        <v>194</v>
      </c>
      <c r="B198" s="25">
        <f ca="1">100*(sim!$C$3+NORMSINV(RAND())*sim!$C$4)</f>
        <v>0.7470342221867583</v>
      </c>
    </row>
    <row r="199" spans="1:2">
      <c r="A199" s="24">
        <v>195</v>
      </c>
      <c r="B199" s="25">
        <f ca="1">100*(sim!$C$3+NORMSINV(RAND())*sim!$C$4)</f>
        <v>1.8728314272836715</v>
      </c>
    </row>
    <row r="200" spans="1:2">
      <c r="A200" s="24">
        <v>196</v>
      </c>
      <c r="B200" s="25">
        <f ca="1">100*(sim!$C$3+NORMSINV(RAND())*sim!$C$4)</f>
        <v>2.3566924325419869</v>
      </c>
    </row>
    <row r="201" spans="1:2">
      <c r="A201" s="24">
        <v>197</v>
      </c>
      <c r="B201" s="25">
        <f ca="1">100*(sim!$C$3+NORMSINV(RAND())*sim!$C$4)</f>
        <v>2.05230107259383</v>
      </c>
    </row>
    <row r="202" spans="1:2">
      <c r="A202" s="24">
        <v>198</v>
      </c>
      <c r="B202" s="25">
        <f ca="1">100*(sim!$C$3+NORMSINV(RAND())*sim!$C$4)</f>
        <v>1.7684441913732889</v>
      </c>
    </row>
    <row r="203" spans="1:2">
      <c r="A203" s="24">
        <v>199</v>
      </c>
      <c r="B203" s="25">
        <f ca="1">100*(sim!$C$3+NORMSINV(RAND())*sim!$C$4)</f>
        <v>1.6151590267777349</v>
      </c>
    </row>
    <row r="204" spans="1:2">
      <c r="A204" s="24">
        <v>200</v>
      </c>
      <c r="B204" s="25">
        <f ca="1">100*(sim!$C$3+NORMSINV(RAND())*sim!$C$4)</f>
        <v>1.0691376175461493</v>
      </c>
    </row>
    <row r="205" spans="1:2">
      <c r="A205" s="24">
        <v>201</v>
      </c>
      <c r="B205" s="25">
        <f ca="1">100*(sim!$C$3+NORMSINV(RAND())*sim!$C$4)</f>
        <v>0.94761799122427293</v>
      </c>
    </row>
    <row r="206" spans="1:2">
      <c r="A206" s="24">
        <v>202</v>
      </c>
      <c r="B206" s="25">
        <f ca="1">100*(sim!$C$3+NORMSINV(RAND())*sim!$C$4)</f>
        <v>2.0359084797021088</v>
      </c>
    </row>
    <row r="207" spans="1:2">
      <c r="A207" s="24">
        <v>203</v>
      </c>
      <c r="B207" s="25">
        <f ca="1">100*(sim!$C$3+NORMSINV(RAND())*sim!$C$4)</f>
        <v>1.2940184257005358</v>
      </c>
    </row>
    <row r="208" spans="1:2">
      <c r="A208" s="24">
        <v>204</v>
      </c>
      <c r="B208" s="25">
        <f ca="1">100*(sim!$C$3+NORMSINV(RAND())*sim!$C$4)</f>
        <v>1.5707043444982627</v>
      </c>
    </row>
    <row r="209" spans="1:2">
      <c r="A209" s="24">
        <v>205</v>
      </c>
      <c r="B209" s="25">
        <f ca="1">100*(sim!$C$3+NORMSINV(RAND())*sim!$C$4)</f>
        <v>0.9604976775108014</v>
      </c>
    </row>
    <row r="210" spans="1:2">
      <c r="A210" s="24">
        <v>206</v>
      </c>
      <c r="B210" s="25">
        <f ca="1">100*(sim!$C$3+NORMSINV(RAND())*sim!$C$4)</f>
        <v>0.65265274923389494</v>
      </c>
    </row>
    <row r="211" spans="1:2">
      <c r="A211" s="24">
        <v>207</v>
      </c>
      <c r="B211" s="25">
        <f ca="1">100*(sim!$C$3+NORMSINV(RAND())*sim!$C$4)</f>
        <v>0.67973575832005928</v>
      </c>
    </row>
    <row r="212" spans="1:2">
      <c r="A212" s="24">
        <v>208</v>
      </c>
      <c r="B212" s="25">
        <f ca="1">100*(sim!$C$3+NORMSINV(RAND())*sim!$C$4)</f>
        <v>2.0370508145872845</v>
      </c>
    </row>
    <row r="213" spans="1:2">
      <c r="A213" s="24">
        <v>209</v>
      </c>
      <c r="B213" s="25">
        <f ca="1">100*(sim!$C$3+NORMSINV(RAND())*sim!$C$4)</f>
        <v>1.9747887613707764</v>
      </c>
    </row>
    <row r="214" spans="1:2">
      <c r="A214" s="24">
        <v>210</v>
      </c>
      <c r="B214" s="25">
        <f ca="1">100*(sim!$C$3+NORMSINV(RAND())*sim!$C$4)</f>
        <v>0.91848139072327872</v>
      </c>
    </row>
    <row r="215" spans="1:2">
      <c r="A215" s="24">
        <v>211</v>
      </c>
      <c r="B215" s="25">
        <f ca="1">100*(sim!$C$3+NORMSINV(RAND())*sim!$C$4)</f>
        <v>1.8733467343908912</v>
      </c>
    </row>
    <row r="216" spans="1:2">
      <c r="A216" s="24">
        <v>212</v>
      </c>
      <c r="B216" s="25">
        <f ca="1">100*(sim!$C$3+NORMSINV(RAND())*sim!$C$4)</f>
        <v>2.0304459697263071</v>
      </c>
    </row>
    <row r="217" spans="1:2">
      <c r="A217" s="24">
        <v>213</v>
      </c>
      <c r="B217" s="25">
        <f ca="1">100*(sim!$C$3+NORMSINV(RAND())*sim!$C$4)</f>
        <v>2.2111472905985767</v>
      </c>
    </row>
    <row r="218" spans="1:2">
      <c r="A218" s="24">
        <v>214</v>
      </c>
      <c r="B218" s="25">
        <f ca="1">100*(sim!$C$3+NORMSINV(RAND())*sim!$C$4)</f>
        <v>0.89239893816250837</v>
      </c>
    </row>
    <row r="219" spans="1:2">
      <c r="A219" s="24">
        <v>215</v>
      </c>
      <c r="B219" s="25">
        <f ca="1">100*(sim!$C$3+NORMSINV(RAND())*sim!$C$4)</f>
        <v>1.620281388407125</v>
      </c>
    </row>
    <row r="220" spans="1:2">
      <c r="A220" s="24">
        <v>216</v>
      </c>
      <c r="B220" s="25">
        <f ca="1">100*(sim!$C$3+NORMSINV(RAND())*sim!$C$4)</f>
        <v>2.8112457176085237</v>
      </c>
    </row>
    <row r="221" spans="1:2">
      <c r="A221" s="24">
        <v>217</v>
      </c>
      <c r="B221" s="25">
        <f ca="1">100*(sim!$C$3+NORMSINV(RAND())*sim!$C$4)</f>
        <v>2.1585691618291349</v>
      </c>
    </row>
    <row r="222" spans="1:2">
      <c r="A222" s="24">
        <v>218</v>
      </c>
      <c r="B222" s="25">
        <f ca="1">100*(sim!$C$3+NORMSINV(RAND())*sim!$C$4)</f>
        <v>2.4748820967890235</v>
      </c>
    </row>
    <row r="223" spans="1:2">
      <c r="A223" s="24">
        <v>219</v>
      </c>
      <c r="B223" s="25">
        <f ca="1">100*(sim!$C$3+NORMSINV(RAND())*sim!$C$4)</f>
        <v>2.0186018642004009</v>
      </c>
    </row>
    <row r="224" spans="1:2">
      <c r="A224" s="24">
        <v>220</v>
      </c>
      <c r="B224" s="25">
        <f ca="1">100*(sim!$C$3+NORMSINV(RAND())*sim!$C$4)</f>
        <v>0.31061065771494123</v>
      </c>
    </row>
    <row r="225" spans="1:2">
      <c r="A225" s="24">
        <v>221</v>
      </c>
      <c r="B225" s="25">
        <f ca="1">100*(sim!$C$3+NORMSINV(RAND())*sim!$C$4)</f>
        <v>2.7164964309086312</v>
      </c>
    </row>
    <row r="226" spans="1:2">
      <c r="A226" s="24">
        <v>222</v>
      </c>
      <c r="B226" s="25">
        <f ca="1">100*(sim!$C$3+NORMSINV(RAND())*sim!$C$4)</f>
        <v>2.0992768870050407</v>
      </c>
    </row>
    <row r="227" spans="1:2">
      <c r="A227" s="24">
        <v>223</v>
      </c>
      <c r="B227" s="25">
        <f ca="1">100*(sim!$C$3+NORMSINV(RAND())*sim!$C$4)</f>
        <v>2.8404710701480229</v>
      </c>
    </row>
    <row r="228" spans="1:2">
      <c r="A228" s="24">
        <v>224</v>
      </c>
      <c r="B228" s="25">
        <f ca="1">100*(sim!$C$3+NORMSINV(RAND())*sim!$C$4)</f>
        <v>1.5201862940179316</v>
      </c>
    </row>
    <row r="229" spans="1:2">
      <c r="A229" s="24">
        <v>225</v>
      </c>
      <c r="B229" s="25">
        <f ca="1">100*(sim!$C$3+NORMSINV(RAND())*sim!$C$4)</f>
        <v>2.2869891569430827</v>
      </c>
    </row>
    <row r="230" spans="1:2">
      <c r="A230" s="24">
        <v>226</v>
      </c>
      <c r="B230" s="25">
        <f ca="1">100*(sim!$C$3+NORMSINV(RAND())*sim!$C$4)</f>
        <v>2.1167158636761059</v>
      </c>
    </row>
    <row r="231" spans="1:2">
      <c r="A231" s="24">
        <v>227</v>
      </c>
      <c r="B231" s="25">
        <f ca="1">100*(sim!$C$3+NORMSINV(RAND())*sim!$C$4)</f>
        <v>1.7613978546127613</v>
      </c>
    </row>
    <row r="232" spans="1:2">
      <c r="A232" s="24">
        <v>228</v>
      </c>
      <c r="B232" s="25">
        <f ca="1">100*(sim!$C$3+NORMSINV(RAND())*sim!$C$4)</f>
        <v>1.8602217453308003</v>
      </c>
    </row>
    <row r="233" spans="1:2">
      <c r="A233" s="24">
        <v>229</v>
      </c>
      <c r="B233" s="25">
        <f ca="1">100*(sim!$C$3+NORMSINV(RAND())*sim!$C$4)</f>
        <v>1.9260856142487546</v>
      </c>
    </row>
    <row r="234" spans="1:2">
      <c r="A234" s="24">
        <v>230</v>
      </c>
      <c r="B234" s="25">
        <f ca="1">100*(sim!$C$3+NORMSINV(RAND())*sim!$C$4)</f>
        <v>2.7224923557953122</v>
      </c>
    </row>
    <row r="235" spans="1:2">
      <c r="A235" s="24">
        <v>231</v>
      </c>
      <c r="B235" s="25">
        <f ca="1">100*(sim!$C$3+NORMSINV(RAND())*sim!$C$4)</f>
        <v>1.022193940858064</v>
      </c>
    </row>
    <row r="236" spans="1:2">
      <c r="A236" s="24">
        <v>232</v>
      </c>
      <c r="B236" s="25">
        <f ca="1">100*(sim!$C$3+NORMSINV(RAND())*sim!$C$4)</f>
        <v>1.9091482894496283</v>
      </c>
    </row>
    <row r="237" spans="1:2">
      <c r="A237" s="24">
        <v>233</v>
      </c>
      <c r="B237" s="25">
        <f ca="1">100*(sim!$C$3+NORMSINV(RAND())*sim!$C$4)</f>
        <v>0.51757779352667432</v>
      </c>
    </row>
    <row r="238" spans="1:2">
      <c r="A238" s="24">
        <v>234</v>
      </c>
      <c r="B238" s="25">
        <f ca="1">100*(sim!$C$3+NORMSINV(RAND())*sim!$C$4)</f>
        <v>2.7783876394254037</v>
      </c>
    </row>
    <row r="239" spans="1:2">
      <c r="A239" s="24">
        <v>235</v>
      </c>
      <c r="B239" s="25">
        <f ca="1">100*(sim!$C$3+NORMSINV(RAND())*sim!$C$4)</f>
        <v>1.0047223318677598</v>
      </c>
    </row>
    <row r="240" spans="1:2">
      <c r="A240" s="24">
        <v>236</v>
      </c>
      <c r="B240" s="25">
        <f ca="1">100*(sim!$C$3+NORMSINV(RAND())*sim!$C$4)</f>
        <v>2.0402671621959496</v>
      </c>
    </row>
    <row r="241" spans="1:2">
      <c r="A241" s="24">
        <v>237</v>
      </c>
      <c r="B241" s="25">
        <f ca="1">100*(sim!$C$3+NORMSINV(RAND())*sim!$C$4)</f>
        <v>2.4547503426577379</v>
      </c>
    </row>
    <row r="242" spans="1:2">
      <c r="A242" s="24">
        <v>238</v>
      </c>
      <c r="B242" s="25">
        <f ca="1">100*(sim!$C$3+NORMSINV(RAND())*sim!$C$4)</f>
        <v>1.0880234657981451</v>
      </c>
    </row>
    <row r="243" spans="1:2">
      <c r="A243" s="24">
        <v>239</v>
      </c>
      <c r="B243" s="25">
        <f ca="1">100*(sim!$C$3+NORMSINV(RAND())*sim!$C$4)</f>
        <v>1.7186718472275431</v>
      </c>
    </row>
    <row r="244" spans="1:2">
      <c r="A244" s="24">
        <v>240</v>
      </c>
      <c r="B244" s="25">
        <f ca="1">100*(sim!$C$3+NORMSINV(RAND())*sim!$C$4)</f>
        <v>3.636911305456719</v>
      </c>
    </row>
    <row r="245" spans="1:2">
      <c r="A245" s="24">
        <v>241</v>
      </c>
      <c r="B245" s="25">
        <f ca="1">100*(sim!$C$3+NORMSINV(RAND())*sim!$C$4)</f>
        <v>2.6797417997086246</v>
      </c>
    </row>
    <row r="246" spans="1:2">
      <c r="A246" s="24">
        <v>242</v>
      </c>
      <c r="B246" s="25">
        <f ca="1">100*(sim!$C$3+NORMSINV(RAND())*sim!$C$4)</f>
        <v>1.1929168330432109</v>
      </c>
    </row>
    <row r="247" spans="1:2">
      <c r="A247" s="24">
        <v>243</v>
      </c>
      <c r="B247" s="25">
        <f ca="1">100*(sim!$C$3+NORMSINV(RAND())*sim!$C$4)</f>
        <v>1.0398270448945963</v>
      </c>
    </row>
    <row r="248" spans="1:2">
      <c r="A248" s="24">
        <v>244</v>
      </c>
      <c r="B248" s="25">
        <f ca="1">100*(sim!$C$3+NORMSINV(RAND())*sim!$C$4)</f>
        <v>2.8063731412726747</v>
      </c>
    </row>
    <row r="249" spans="1:2">
      <c r="A249" s="24">
        <v>245</v>
      </c>
      <c r="B249" s="25">
        <f ca="1">100*(sim!$C$3+NORMSINV(RAND())*sim!$C$4)</f>
        <v>1.312683021969828</v>
      </c>
    </row>
    <row r="250" spans="1:2">
      <c r="A250" s="24">
        <v>246</v>
      </c>
      <c r="B250" s="25">
        <f ca="1">100*(sim!$C$3+NORMSINV(RAND())*sim!$C$4)</f>
        <v>1.9513524789731926</v>
      </c>
    </row>
    <row r="251" spans="1:2">
      <c r="A251" s="24">
        <v>247</v>
      </c>
      <c r="B251" s="25">
        <f ca="1">100*(sim!$C$3+NORMSINV(RAND())*sim!$C$4)</f>
        <v>1.7991111487133129</v>
      </c>
    </row>
    <row r="252" spans="1:2">
      <c r="A252" s="24">
        <v>248</v>
      </c>
      <c r="B252" s="25">
        <f ca="1">100*(sim!$C$3+NORMSINV(RAND())*sim!$C$4)</f>
        <v>2.658720310338532</v>
      </c>
    </row>
    <row r="253" spans="1:2">
      <c r="A253" s="24">
        <v>249</v>
      </c>
      <c r="B253" s="25">
        <f ca="1">100*(sim!$C$3+NORMSINV(RAND())*sim!$C$4)</f>
        <v>1.3861577848132369</v>
      </c>
    </row>
    <row r="254" spans="1:2">
      <c r="A254" s="24">
        <v>250</v>
      </c>
      <c r="B254" s="25">
        <f ca="1">100*(sim!$C$3+NORMSINV(RAND())*sim!$C$4)</f>
        <v>1.0530972731431101</v>
      </c>
    </row>
    <row r="255" spans="1:2">
      <c r="A255" s="24">
        <v>251</v>
      </c>
      <c r="B255" s="25">
        <f ca="1">100*(sim!$C$3+NORMSINV(RAND())*sim!$C$4)</f>
        <v>3.4871150162754412</v>
      </c>
    </row>
    <row r="256" spans="1:2">
      <c r="A256" s="24">
        <v>252</v>
      </c>
      <c r="B256" s="25">
        <f ca="1">100*(sim!$C$3+NORMSINV(RAND())*sim!$C$4)</f>
        <v>2.0872919461910411</v>
      </c>
    </row>
    <row r="257" spans="1:2">
      <c r="A257" s="24">
        <v>253</v>
      </c>
      <c r="B257" s="25">
        <f ca="1">100*(sim!$C$3+NORMSINV(RAND())*sim!$C$4)</f>
        <v>1.8494255007177278</v>
      </c>
    </row>
    <row r="258" spans="1:2">
      <c r="A258" s="24">
        <v>254</v>
      </c>
      <c r="B258" s="25">
        <f ca="1">100*(sim!$C$3+NORMSINV(RAND())*sim!$C$4)</f>
        <v>0.84409824797427135</v>
      </c>
    </row>
    <row r="259" spans="1:2">
      <c r="A259" s="24">
        <v>255</v>
      </c>
      <c r="B259" s="25">
        <f ca="1">100*(sim!$C$3+NORMSINV(RAND())*sim!$C$4)</f>
        <v>2.6361926389308161</v>
      </c>
    </row>
    <row r="260" spans="1:2">
      <c r="A260" s="24">
        <v>256</v>
      </c>
      <c r="B260" s="25">
        <f ca="1">100*(sim!$C$3+NORMSINV(RAND())*sim!$C$4)</f>
        <v>1.9718253203406422</v>
      </c>
    </row>
    <row r="261" spans="1:2">
      <c r="A261" s="24">
        <v>257</v>
      </c>
      <c r="B261" s="25">
        <f ca="1">100*(sim!$C$3+NORMSINV(RAND())*sim!$C$4)</f>
        <v>2.4937915326017057</v>
      </c>
    </row>
    <row r="262" spans="1:2">
      <c r="A262" s="24">
        <v>258</v>
      </c>
      <c r="B262" s="25">
        <f ca="1">100*(sim!$C$3+NORMSINV(RAND())*sim!$C$4)</f>
        <v>2.5758087896357038</v>
      </c>
    </row>
    <row r="263" spans="1:2">
      <c r="A263" s="24">
        <v>259</v>
      </c>
      <c r="B263" s="25">
        <f ca="1">100*(sim!$C$3+NORMSINV(RAND())*sim!$C$4)</f>
        <v>1.7810526689818598</v>
      </c>
    </row>
    <row r="264" spans="1:2">
      <c r="A264" s="24">
        <v>260</v>
      </c>
      <c r="B264" s="25">
        <f ca="1">100*(sim!$C$3+NORMSINV(RAND())*sim!$C$4)</f>
        <v>3.1392168088481482</v>
      </c>
    </row>
    <row r="265" spans="1:2">
      <c r="A265" s="24">
        <v>261</v>
      </c>
      <c r="B265" s="25">
        <f ca="1">100*(sim!$C$3+NORMSINV(RAND())*sim!$C$4)</f>
        <v>-0.48158149089601204</v>
      </c>
    </row>
    <row r="266" spans="1:2">
      <c r="A266" s="24">
        <v>262</v>
      </c>
      <c r="B266" s="25">
        <f ca="1">100*(sim!$C$3+NORMSINV(RAND())*sim!$C$4)</f>
        <v>0.88432269411810283</v>
      </c>
    </row>
    <row r="267" spans="1:2">
      <c r="A267" s="24">
        <v>263</v>
      </c>
      <c r="B267" s="25">
        <f ca="1">100*(sim!$C$3+NORMSINV(RAND())*sim!$C$4)</f>
        <v>1.8522137974312565</v>
      </c>
    </row>
    <row r="268" spans="1:2">
      <c r="A268" s="24">
        <v>264</v>
      </c>
      <c r="B268" s="25">
        <f ca="1">100*(sim!$C$3+NORMSINV(RAND())*sim!$C$4)</f>
        <v>3.103134711814866</v>
      </c>
    </row>
    <row r="269" spans="1:2">
      <c r="A269" s="24">
        <v>265</v>
      </c>
      <c r="B269" s="25">
        <f ca="1">100*(sim!$C$3+NORMSINV(RAND())*sim!$C$4)</f>
        <v>2.7902705843592313</v>
      </c>
    </row>
    <row r="270" spans="1:2">
      <c r="A270" s="24">
        <v>266</v>
      </c>
      <c r="B270" s="25">
        <f ca="1">100*(sim!$C$3+NORMSINV(RAND())*sim!$C$4)</f>
        <v>2.5287154696496073</v>
      </c>
    </row>
    <row r="271" spans="1:2">
      <c r="A271" s="24">
        <v>267</v>
      </c>
      <c r="B271" s="25">
        <f ca="1">100*(sim!$C$3+NORMSINV(RAND())*sim!$C$4)</f>
        <v>1.3406135370605361</v>
      </c>
    </row>
    <row r="272" spans="1:2">
      <c r="A272" s="24">
        <v>268</v>
      </c>
      <c r="B272" s="25">
        <f ca="1">100*(sim!$C$3+NORMSINV(RAND())*sim!$C$4)</f>
        <v>-6.2596104203758302E-2</v>
      </c>
    </row>
    <row r="273" spans="1:2">
      <c r="A273" s="24">
        <v>269</v>
      </c>
      <c r="B273" s="25">
        <f ca="1">100*(sim!$C$3+NORMSINV(RAND())*sim!$C$4)</f>
        <v>2.2508059814906343</v>
      </c>
    </row>
    <row r="274" spans="1:2">
      <c r="A274" s="24">
        <v>270</v>
      </c>
      <c r="B274" s="25">
        <f ca="1">100*(sim!$C$3+NORMSINV(RAND())*sim!$C$4)</f>
        <v>0.73911811991537957</v>
      </c>
    </row>
    <row r="275" spans="1:2">
      <c r="A275" s="24">
        <v>271</v>
      </c>
      <c r="B275" s="25">
        <f ca="1">100*(sim!$C$3+NORMSINV(RAND())*sim!$C$4)</f>
        <v>0.40937142409789884</v>
      </c>
    </row>
    <row r="276" spans="1:2">
      <c r="A276" s="24">
        <v>272</v>
      </c>
      <c r="B276" s="25">
        <f ca="1">100*(sim!$C$3+NORMSINV(RAND())*sim!$C$4)</f>
        <v>1.9454915902625201</v>
      </c>
    </row>
    <row r="277" spans="1:2">
      <c r="A277" s="24">
        <v>273</v>
      </c>
      <c r="B277" s="25">
        <f ca="1">100*(sim!$C$3+NORMSINV(RAND())*sim!$C$4)</f>
        <v>2.6481590492045557</v>
      </c>
    </row>
    <row r="278" spans="1:2">
      <c r="A278" s="24">
        <v>274</v>
      </c>
      <c r="B278" s="25">
        <f ca="1">100*(sim!$C$3+NORMSINV(RAND())*sim!$C$4)</f>
        <v>1.9678596160922435</v>
      </c>
    </row>
    <row r="279" spans="1:2">
      <c r="A279" s="24">
        <v>275</v>
      </c>
      <c r="B279" s="25">
        <f ca="1">100*(sim!$C$3+NORMSINV(RAND())*sim!$C$4)</f>
        <v>1.6399361239119126</v>
      </c>
    </row>
    <row r="280" spans="1:2">
      <c r="A280" s="24">
        <v>276</v>
      </c>
      <c r="B280" s="25">
        <f ca="1">100*(sim!$C$3+NORMSINV(RAND())*sim!$C$4)</f>
        <v>1.0253359461739135</v>
      </c>
    </row>
    <row r="281" spans="1:2">
      <c r="A281" s="24">
        <v>277</v>
      </c>
      <c r="B281" s="25">
        <f ca="1">100*(sim!$C$3+NORMSINV(RAND())*sim!$C$4)</f>
        <v>1.8519256135751425</v>
      </c>
    </row>
    <row r="282" spans="1:2">
      <c r="A282" s="24">
        <v>278</v>
      </c>
      <c r="B282" s="25">
        <f ca="1">100*(sim!$C$3+NORMSINV(RAND())*sim!$C$4)</f>
        <v>1.1086977197039569</v>
      </c>
    </row>
    <row r="283" spans="1:2">
      <c r="A283" s="24">
        <v>279</v>
      </c>
      <c r="B283" s="25">
        <f ca="1">100*(sim!$C$3+NORMSINV(RAND())*sim!$C$4)</f>
        <v>1.4785748976852258</v>
      </c>
    </row>
    <row r="284" spans="1:2">
      <c r="A284" s="24">
        <v>280</v>
      </c>
      <c r="B284" s="25">
        <f ca="1">100*(sim!$C$3+NORMSINV(RAND())*sim!$C$4)</f>
        <v>1.4177790216866653</v>
      </c>
    </row>
    <row r="285" spans="1:2">
      <c r="A285" s="24">
        <v>281</v>
      </c>
      <c r="B285" s="25">
        <f ca="1">100*(sim!$C$3+NORMSINV(RAND())*sim!$C$4)</f>
        <v>2.9920915806954573</v>
      </c>
    </row>
    <row r="286" spans="1:2">
      <c r="A286" s="24">
        <v>282</v>
      </c>
      <c r="B286" s="25">
        <f ca="1">100*(sim!$C$3+NORMSINV(RAND())*sim!$C$4)</f>
        <v>1.62715738270598</v>
      </c>
    </row>
    <row r="287" spans="1:2">
      <c r="A287" s="24">
        <v>283</v>
      </c>
      <c r="B287" s="25">
        <f ca="1">100*(sim!$C$3+NORMSINV(RAND())*sim!$C$4)</f>
        <v>2.1580298925308599</v>
      </c>
    </row>
    <row r="288" spans="1:2">
      <c r="A288" s="24">
        <v>284</v>
      </c>
      <c r="B288" s="25">
        <f ca="1">100*(sim!$C$3+NORMSINV(RAND())*sim!$C$4)</f>
        <v>3.2042181324754031</v>
      </c>
    </row>
    <row r="289" spans="1:2">
      <c r="A289" s="24">
        <v>285</v>
      </c>
      <c r="B289" s="25">
        <f ca="1">100*(sim!$C$3+NORMSINV(RAND())*sim!$C$4)</f>
        <v>0.58104261668711388</v>
      </c>
    </row>
    <row r="290" spans="1:2">
      <c r="A290" s="24">
        <v>286</v>
      </c>
      <c r="B290" s="25">
        <f ca="1">100*(sim!$C$3+NORMSINV(RAND())*sim!$C$4)</f>
        <v>2.5918015303189268</v>
      </c>
    </row>
    <row r="291" spans="1:2">
      <c r="A291" s="24">
        <v>287</v>
      </c>
      <c r="B291" s="25">
        <f ca="1">100*(sim!$C$3+NORMSINV(RAND())*sim!$C$4)</f>
        <v>2.870128225712103</v>
      </c>
    </row>
    <row r="292" spans="1:2">
      <c r="A292" s="24">
        <v>288</v>
      </c>
      <c r="B292" s="25">
        <f ca="1">100*(sim!$C$3+NORMSINV(RAND())*sim!$C$4)</f>
        <v>2.3083577513402829</v>
      </c>
    </row>
    <row r="293" spans="1:2">
      <c r="A293" s="24">
        <v>289</v>
      </c>
      <c r="B293" s="25">
        <f ca="1">100*(sim!$C$3+NORMSINV(RAND())*sim!$C$4)</f>
        <v>1.8272149631596526</v>
      </c>
    </row>
    <row r="294" spans="1:2">
      <c r="A294" s="24">
        <v>290</v>
      </c>
      <c r="B294" s="25">
        <f ca="1">100*(sim!$C$3+NORMSINV(RAND())*sim!$C$4)</f>
        <v>1.521970200943062</v>
      </c>
    </row>
    <row r="295" spans="1:2">
      <c r="A295" s="24">
        <v>291</v>
      </c>
      <c r="B295" s="25">
        <f ca="1">100*(sim!$C$3+NORMSINV(RAND())*sim!$C$4)</f>
        <v>1.2008115606341003</v>
      </c>
    </row>
    <row r="296" spans="1:2">
      <c r="A296" s="24">
        <v>292</v>
      </c>
      <c r="B296" s="25">
        <f ca="1">100*(sim!$C$3+NORMSINV(RAND())*sim!$C$4)</f>
        <v>2.4802173402225689</v>
      </c>
    </row>
    <row r="297" spans="1:2">
      <c r="A297" s="24">
        <v>293</v>
      </c>
      <c r="B297" s="25">
        <f ca="1">100*(sim!$C$3+NORMSINV(RAND())*sim!$C$4)</f>
        <v>4.0863945687917225</v>
      </c>
    </row>
    <row r="298" spans="1:2">
      <c r="A298" s="24">
        <v>294</v>
      </c>
      <c r="B298" s="25">
        <f ca="1">100*(sim!$C$3+NORMSINV(RAND())*sim!$C$4)</f>
        <v>1.200641211540812</v>
      </c>
    </row>
    <row r="299" spans="1:2">
      <c r="A299" s="24">
        <v>295</v>
      </c>
      <c r="B299" s="25">
        <f ca="1">100*(sim!$C$3+NORMSINV(RAND())*sim!$C$4)</f>
        <v>2.7844638710507139</v>
      </c>
    </row>
    <row r="300" spans="1:2">
      <c r="A300" s="24">
        <v>296</v>
      </c>
      <c r="B300" s="25">
        <f ca="1">100*(sim!$C$3+NORMSINV(RAND())*sim!$C$4)</f>
        <v>2.1357414805976833</v>
      </c>
    </row>
    <row r="301" spans="1:2">
      <c r="A301" s="24">
        <v>297</v>
      </c>
      <c r="B301" s="25">
        <f ca="1">100*(sim!$C$3+NORMSINV(RAND())*sim!$C$4)</f>
        <v>0.51907123641758424</v>
      </c>
    </row>
    <row r="302" spans="1:2">
      <c r="A302" s="24">
        <v>298</v>
      </c>
      <c r="B302" s="25">
        <f ca="1">100*(sim!$C$3+NORMSINV(RAND())*sim!$C$4)</f>
        <v>1.0419586777201237</v>
      </c>
    </row>
    <row r="303" spans="1:2">
      <c r="A303" s="24">
        <v>299</v>
      </c>
      <c r="B303" s="25">
        <f ca="1">100*(sim!$C$3+NORMSINV(RAND())*sim!$C$4)</f>
        <v>0.83489917571237771</v>
      </c>
    </row>
    <row r="304" spans="1:2">
      <c r="A304" s="24">
        <v>300</v>
      </c>
      <c r="B304" s="25">
        <f ca="1">100*(sim!$C$3+NORMSINV(RAND())*sim!$C$4)</f>
        <v>4.1243071560719935</v>
      </c>
    </row>
    <row r="305" spans="1:2">
      <c r="A305" s="24">
        <v>301</v>
      </c>
      <c r="B305" s="25">
        <f ca="1">100*(sim!$C$3+NORMSINV(RAND())*sim!$C$4)</f>
        <v>4.5559109304030283</v>
      </c>
    </row>
    <row r="306" spans="1:2">
      <c r="A306" s="24">
        <v>302</v>
      </c>
      <c r="B306" s="25">
        <f ca="1">100*(sim!$C$3+NORMSINV(RAND())*sim!$C$4)</f>
        <v>2.0912602509092153</v>
      </c>
    </row>
    <row r="307" spans="1:2">
      <c r="A307" s="24">
        <v>303</v>
      </c>
      <c r="B307" s="25">
        <f ca="1">100*(sim!$C$3+NORMSINV(RAND())*sim!$C$4)</f>
        <v>2.8294081138893334</v>
      </c>
    </row>
    <row r="308" spans="1:2">
      <c r="A308" s="24">
        <v>304</v>
      </c>
      <c r="B308" s="25">
        <f ca="1">100*(sim!$C$3+NORMSINV(RAND())*sim!$C$4)</f>
        <v>2.443526762049038</v>
      </c>
    </row>
    <row r="309" spans="1:2">
      <c r="A309" s="24">
        <v>305</v>
      </c>
      <c r="B309" s="25">
        <f ca="1">100*(sim!$C$3+NORMSINV(RAND())*sim!$C$4)</f>
        <v>1.7761708917929724</v>
      </c>
    </row>
    <row r="310" spans="1:2">
      <c r="A310" s="24">
        <v>306</v>
      </c>
      <c r="B310" s="25">
        <f ca="1">100*(sim!$C$3+NORMSINV(RAND())*sim!$C$4)</f>
        <v>3.1490064196317573</v>
      </c>
    </row>
    <row r="311" spans="1:2">
      <c r="A311" s="24">
        <v>307</v>
      </c>
      <c r="B311" s="25">
        <f ca="1">100*(sim!$C$3+NORMSINV(RAND())*sim!$C$4)</f>
        <v>0.56138787887742359</v>
      </c>
    </row>
    <row r="312" spans="1:2">
      <c r="A312" s="24">
        <v>308</v>
      </c>
      <c r="B312" s="25">
        <f ca="1">100*(sim!$C$3+NORMSINV(RAND())*sim!$C$4)</f>
        <v>2.1165503153800405</v>
      </c>
    </row>
    <row r="313" spans="1:2">
      <c r="A313" s="24">
        <v>309</v>
      </c>
      <c r="B313" s="25">
        <f ca="1">100*(sim!$C$3+NORMSINV(RAND())*sim!$C$4)</f>
        <v>1.713267202704893</v>
      </c>
    </row>
    <row r="314" spans="1:2">
      <c r="A314" s="24">
        <v>310</v>
      </c>
      <c r="B314" s="25">
        <f ca="1">100*(sim!$C$3+NORMSINV(RAND())*sim!$C$4)</f>
        <v>0.61102017698922184</v>
      </c>
    </row>
    <row r="315" spans="1:2">
      <c r="A315" s="24">
        <v>311</v>
      </c>
      <c r="B315" s="25">
        <f ca="1">100*(sim!$C$3+NORMSINV(RAND())*sim!$C$4)</f>
        <v>1.6900502083539131</v>
      </c>
    </row>
    <row r="316" spans="1:2">
      <c r="A316" s="24">
        <v>312</v>
      </c>
      <c r="B316" s="25">
        <f ca="1">100*(sim!$C$3+NORMSINV(RAND())*sim!$C$4)</f>
        <v>1.862900469766654</v>
      </c>
    </row>
    <row r="317" spans="1:2">
      <c r="A317" s="24">
        <v>313</v>
      </c>
      <c r="B317" s="25">
        <f ca="1">100*(sim!$C$3+NORMSINV(RAND())*sim!$C$4)</f>
        <v>1.5146814348471147</v>
      </c>
    </row>
    <row r="318" spans="1:2">
      <c r="A318" s="24">
        <v>314</v>
      </c>
      <c r="B318" s="25">
        <f ca="1">100*(sim!$C$3+NORMSINV(RAND())*sim!$C$4)</f>
        <v>2.6612398613213326</v>
      </c>
    </row>
    <row r="319" spans="1:2">
      <c r="A319" s="24">
        <v>315</v>
      </c>
      <c r="B319" s="25">
        <f ca="1">100*(sim!$C$3+NORMSINV(RAND())*sim!$C$4)</f>
        <v>1.3755615856184547</v>
      </c>
    </row>
    <row r="320" spans="1:2">
      <c r="A320" s="24">
        <v>316</v>
      </c>
      <c r="B320" s="25">
        <f ca="1">100*(sim!$C$3+NORMSINV(RAND())*sim!$C$4)</f>
        <v>3.1830507076550734</v>
      </c>
    </row>
    <row r="321" spans="1:2">
      <c r="A321" s="24">
        <v>317</v>
      </c>
      <c r="B321" s="25">
        <f ca="1">100*(sim!$C$3+NORMSINV(RAND())*sim!$C$4)</f>
        <v>0.63269959839933199</v>
      </c>
    </row>
    <row r="322" spans="1:2">
      <c r="A322" s="24">
        <v>318</v>
      </c>
      <c r="B322" s="25">
        <f ca="1">100*(sim!$C$3+NORMSINV(RAND())*sim!$C$4)</f>
        <v>2.4136859262207482</v>
      </c>
    </row>
    <row r="323" spans="1:2">
      <c r="A323" s="24">
        <v>319</v>
      </c>
      <c r="B323" s="25">
        <f ca="1">100*(sim!$C$3+NORMSINV(RAND())*sim!$C$4)</f>
        <v>3.3757140635718552</v>
      </c>
    </row>
    <row r="324" spans="1:2">
      <c r="A324" s="24">
        <v>320</v>
      </c>
      <c r="B324" s="25">
        <f ca="1">100*(sim!$C$3+NORMSINV(RAND())*sim!$C$4)</f>
        <v>2.4343634187540952</v>
      </c>
    </row>
    <row r="325" spans="1:2">
      <c r="A325" s="24">
        <v>321</v>
      </c>
      <c r="B325" s="25">
        <f ca="1">100*(sim!$C$3+NORMSINV(RAND())*sim!$C$4)</f>
        <v>2.2504828522391098</v>
      </c>
    </row>
    <row r="326" spans="1:2">
      <c r="A326" s="24">
        <v>322</v>
      </c>
      <c r="B326" s="25">
        <f ca="1">100*(sim!$C$3+NORMSINV(RAND())*sim!$C$4)</f>
        <v>1.7459103648937928</v>
      </c>
    </row>
    <row r="327" spans="1:2">
      <c r="A327" s="24">
        <v>323</v>
      </c>
      <c r="B327" s="25">
        <f ca="1">100*(sim!$C$3+NORMSINV(RAND())*sim!$C$4)</f>
        <v>1.5937994905978872</v>
      </c>
    </row>
    <row r="328" spans="1:2">
      <c r="A328" s="24">
        <v>324</v>
      </c>
      <c r="B328" s="25">
        <f ca="1">100*(sim!$C$3+NORMSINV(RAND())*sim!$C$4)</f>
        <v>2.7692979791565153</v>
      </c>
    </row>
    <row r="329" spans="1:2">
      <c r="A329" s="24">
        <v>325</v>
      </c>
      <c r="B329" s="25">
        <f ca="1">100*(sim!$C$3+NORMSINV(RAND())*sim!$C$4)</f>
        <v>2.3832815049244465</v>
      </c>
    </row>
    <row r="330" spans="1:2">
      <c r="A330" s="24">
        <v>326</v>
      </c>
      <c r="B330" s="25">
        <f ca="1">100*(sim!$C$3+NORMSINV(RAND())*sim!$C$4)</f>
        <v>1.3770954257885355</v>
      </c>
    </row>
    <row r="331" spans="1:2">
      <c r="A331" s="24">
        <v>327</v>
      </c>
      <c r="B331" s="25">
        <f ca="1">100*(sim!$C$3+NORMSINV(RAND())*sim!$C$4)</f>
        <v>1.6093993937550777</v>
      </c>
    </row>
    <row r="332" spans="1:2">
      <c r="A332" s="24">
        <v>328</v>
      </c>
      <c r="B332" s="25">
        <f ca="1">100*(sim!$C$3+NORMSINV(RAND())*sim!$C$4)</f>
        <v>2.4875106603655461</v>
      </c>
    </row>
    <row r="333" spans="1:2">
      <c r="A333" s="24">
        <v>329</v>
      </c>
      <c r="B333" s="25">
        <f ca="1">100*(sim!$C$3+NORMSINV(RAND())*sim!$C$4)</f>
        <v>2.776807654601988</v>
      </c>
    </row>
    <row r="334" spans="1:2">
      <c r="A334" s="24">
        <v>330</v>
      </c>
      <c r="B334" s="25">
        <f ca="1">100*(sim!$C$3+NORMSINV(RAND())*sim!$C$4)</f>
        <v>3.4471326404782952</v>
      </c>
    </row>
    <row r="335" spans="1:2">
      <c r="A335" s="24">
        <v>331</v>
      </c>
      <c r="B335" s="25">
        <f ca="1">100*(sim!$C$3+NORMSINV(RAND())*sim!$C$4)</f>
        <v>2.2147048693549465</v>
      </c>
    </row>
    <row r="336" spans="1:2">
      <c r="A336" s="24">
        <v>332</v>
      </c>
      <c r="B336" s="25">
        <f ca="1">100*(sim!$C$3+NORMSINV(RAND())*sim!$C$4)</f>
        <v>1.4964285793785519</v>
      </c>
    </row>
    <row r="337" spans="1:2">
      <c r="A337" s="24">
        <v>333</v>
      </c>
      <c r="B337" s="25">
        <f ca="1">100*(sim!$C$3+NORMSINV(RAND())*sim!$C$4)</f>
        <v>3.7666540202602432</v>
      </c>
    </row>
    <row r="338" spans="1:2">
      <c r="A338" s="24">
        <v>334</v>
      </c>
      <c r="B338" s="25">
        <f ca="1">100*(sim!$C$3+NORMSINV(RAND())*sim!$C$4)</f>
        <v>1.6000226385264555</v>
      </c>
    </row>
    <row r="339" spans="1:2">
      <c r="A339" s="24">
        <v>335</v>
      </c>
      <c r="B339" s="25">
        <f ca="1">100*(sim!$C$3+NORMSINV(RAND())*sim!$C$4)</f>
        <v>1.3330308270612543</v>
      </c>
    </row>
    <row r="340" spans="1:2">
      <c r="A340" s="24">
        <v>336</v>
      </c>
      <c r="B340" s="25">
        <f ca="1">100*(sim!$C$3+NORMSINV(RAND())*sim!$C$4)</f>
        <v>3.5870101936289012</v>
      </c>
    </row>
    <row r="341" spans="1:2">
      <c r="A341" s="24">
        <v>337</v>
      </c>
      <c r="B341" s="25">
        <f ca="1">100*(sim!$C$3+NORMSINV(RAND())*sim!$C$4)</f>
        <v>2.5849161592177197</v>
      </c>
    </row>
    <row r="342" spans="1:2">
      <c r="A342" s="24">
        <v>338</v>
      </c>
      <c r="B342" s="25">
        <f ca="1">100*(sim!$C$3+NORMSINV(RAND())*sim!$C$4)</f>
        <v>0.10432640408330369</v>
      </c>
    </row>
    <row r="343" spans="1:2">
      <c r="A343" s="24">
        <v>339</v>
      </c>
      <c r="B343" s="25">
        <f ca="1">100*(sim!$C$3+NORMSINV(RAND())*sim!$C$4)</f>
        <v>2.5211800526854269</v>
      </c>
    </row>
    <row r="344" spans="1:2">
      <c r="A344" s="24">
        <v>340</v>
      </c>
      <c r="B344" s="25">
        <f ca="1">100*(sim!$C$3+NORMSINV(RAND())*sim!$C$4)</f>
        <v>1.8650302665910712</v>
      </c>
    </row>
    <row r="345" spans="1:2">
      <c r="A345" s="24">
        <v>341</v>
      </c>
      <c r="B345" s="25">
        <f ca="1">100*(sim!$C$3+NORMSINV(RAND())*sim!$C$4)</f>
        <v>1.5655952533552786</v>
      </c>
    </row>
    <row r="346" spans="1:2">
      <c r="A346" s="24">
        <v>342</v>
      </c>
      <c r="B346" s="25">
        <f ca="1">100*(sim!$C$3+NORMSINV(RAND())*sim!$C$4)</f>
        <v>1.3732003299747324</v>
      </c>
    </row>
    <row r="347" spans="1:2">
      <c r="A347" s="24">
        <v>343</v>
      </c>
      <c r="B347" s="25">
        <f ca="1">100*(sim!$C$3+NORMSINV(RAND())*sim!$C$4)</f>
        <v>3.669933354016913</v>
      </c>
    </row>
    <row r="348" spans="1:2">
      <c r="A348" s="24">
        <v>344</v>
      </c>
      <c r="B348" s="25">
        <f ca="1">100*(sim!$C$3+NORMSINV(RAND())*sim!$C$4)</f>
        <v>1.8241907691607666</v>
      </c>
    </row>
    <row r="349" spans="1:2">
      <c r="A349" s="24">
        <v>345</v>
      </c>
      <c r="B349" s="25">
        <f ca="1">100*(sim!$C$3+NORMSINV(RAND())*sim!$C$4)</f>
        <v>1.9173801084733728</v>
      </c>
    </row>
    <row r="350" spans="1:2">
      <c r="A350" s="24">
        <v>346</v>
      </c>
      <c r="B350" s="25">
        <f ca="1">100*(sim!$C$3+NORMSINV(RAND())*sim!$C$4)</f>
        <v>2.5627136684130809</v>
      </c>
    </row>
    <row r="351" spans="1:2">
      <c r="A351" s="24">
        <v>347</v>
      </c>
      <c r="B351" s="25">
        <f ca="1">100*(sim!$C$3+NORMSINV(RAND())*sim!$C$4)</f>
        <v>3.0805374652675876</v>
      </c>
    </row>
    <row r="352" spans="1:2">
      <c r="A352" s="24">
        <v>348</v>
      </c>
      <c r="B352" s="25">
        <f ca="1">100*(sim!$C$3+NORMSINV(RAND())*sim!$C$4)</f>
        <v>0.70253675726474951</v>
      </c>
    </row>
    <row r="353" spans="1:2">
      <c r="A353" s="24">
        <v>349</v>
      </c>
      <c r="B353" s="25">
        <f ca="1">100*(sim!$C$3+NORMSINV(RAND())*sim!$C$4)</f>
        <v>2.6670429776039404</v>
      </c>
    </row>
    <row r="354" spans="1:2">
      <c r="A354" s="24">
        <v>350</v>
      </c>
      <c r="B354" s="25">
        <f ca="1">100*(sim!$C$3+NORMSINV(RAND())*sim!$C$4)</f>
        <v>1.6266932793303657</v>
      </c>
    </row>
    <row r="355" spans="1:2">
      <c r="A355" s="24">
        <v>351</v>
      </c>
      <c r="B355" s="25">
        <f ca="1">100*(sim!$C$3+NORMSINV(RAND())*sim!$C$4)</f>
        <v>2.7338830239305461</v>
      </c>
    </row>
    <row r="356" spans="1:2">
      <c r="A356" s="24">
        <v>352</v>
      </c>
      <c r="B356" s="25">
        <f ca="1">100*(sim!$C$3+NORMSINV(RAND())*sim!$C$4)</f>
        <v>1.5986436616604613</v>
      </c>
    </row>
    <row r="357" spans="1:2">
      <c r="A357" s="24">
        <v>353</v>
      </c>
      <c r="B357" s="25">
        <f ca="1">100*(sim!$C$3+NORMSINV(RAND())*sim!$C$4)</f>
        <v>2.7863864800129408</v>
      </c>
    </row>
    <row r="358" spans="1:2">
      <c r="A358" s="24">
        <v>354</v>
      </c>
      <c r="B358" s="25">
        <f ca="1">100*(sim!$C$3+NORMSINV(RAND())*sim!$C$4)</f>
        <v>1.7285143500309033</v>
      </c>
    </row>
    <row r="359" spans="1:2">
      <c r="A359" s="24">
        <v>355</v>
      </c>
      <c r="B359" s="25">
        <f ca="1">100*(sim!$C$3+NORMSINV(RAND())*sim!$C$4)</f>
        <v>1.1894949862353701</v>
      </c>
    </row>
    <row r="360" spans="1:2">
      <c r="A360" s="24">
        <v>356</v>
      </c>
      <c r="B360" s="25">
        <f ca="1">100*(sim!$C$3+NORMSINV(RAND())*sim!$C$4)</f>
        <v>2.3822961202555573</v>
      </c>
    </row>
    <row r="361" spans="1:2">
      <c r="A361" s="24">
        <v>357</v>
      </c>
      <c r="B361" s="25">
        <f ca="1">100*(sim!$C$3+NORMSINV(RAND())*sim!$C$4)</f>
        <v>1.6679938170138211</v>
      </c>
    </row>
    <row r="362" spans="1:2">
      <c r="A362" s="24">
        <v>358</v>
      </c>
      <c r="B362" s="25">
        <f ca="1">100*(sim!$C$3+NORMSINV(RAND())*sim!$C$4)</f>
        <v>0.34215604584658876</v>
      </c>
    </row>
    <row r="363" spans="1:2">
      <c r="A363" s="24">
        <v>359</v>
      </c>
      <c r="B363" s="25">
        <f ca="1">100*(sim!$C$3+NORMSINV(RAND())*sim!$C$4)</f>
        <v>2.2646236700240676</v>
      </c>
    </row>
    <row r="364" spans="1:2">
      <c r="A364" s="24">
        <v>360</v>
      </c>
      <c r="B364" s="25">
        <f ca="1">100*(sim!$C$3+NORMSINV(RAND())*sim!$C$4)</f>
        <v>1.0030650286747238</v>
      </c>
    </row>
    <row r="365" spans="1:2">
      <c r="A365" s="24">
        <v>361</v>
      </c>
      <c r="B365" s="25">
        <f ca="1">100*(sim!$C$3+NORMSINV(RAND())*sim!$C$4)</f>
        <v>2.1897946074166854</v>
      </c>
    </row>
    <row r="366" spans="1:2">
      <c r="A366" s="24">
        <v>362</v>
      </c>
      <c r="B366" s="25">
        <f ca="1">100*(sim!$C$3+NORMSINV(RAND())*sim!$C$4)</f>
        <v>3.2263125771760244</v>
      </c>
    </row>
    <row r="367" spans="1:2">
      <c r="A367" s="24">
        <v>363</v>
      </c>
      <c r="B367" s="25">
        <f ca="1">100*(sim!$C$3+NORMSINV(RAND())*sim!$C$4)</f>
        <v>0.24402430398806385</v>
      </c>
    </row>
    <row r="368" spans="1:2">
      <c r="A368" s="24">
        <v>364</v>
      </c>
      <c r="B368" s="25">
        <f ca="1">100*(sim!$C$3+NORMSINV(RAND())*sim!$C$4)</f>
        <v>1.1180253733990801</v>
      </c>
    </row>
    <row r="369" spans="1:2">
      <c r="A369" s="24">
        <v>365</v>
      </c>
      <c r="B369" s="25">
        <f ca="1">100*(sim!$C$3+NORMSINV(RAND())*sim!$C$4)</f>
        <v>1.9530079901165276</v>
      </c>
    </row>
    <row r="370" spans="1:2">
      <c r="A370" s="24">
        <v>366</v>
      </c>
      <c r="B370" s="25">
        <f ca="1">100*(sim!$C$3+NORMSINV(RAND())*sim!$C$4)</f>
        <v>0.72767128080328969</v>
      </c>
    </row>
    <row r="371" spans="1:2">
      <c r="A371" s="24">
        <v>367</v>
      </c>
      <c r="B371" s="25">
        <f ca="1">100*(sim!$C$3+NORMSINV(RAND())*sim!$C$4)</f>
        <v>2.9068194900991569</v>
      </c>
    </row>
    <row r="372" spans="1:2">
      <c r="A372" s="24">
        <v>368</v>
      </c>
      <c r="B372" s="25">
        <f ca="1">100*(sim!$C$3+NORMSINV(RAND())*sim!$C$4)</f>
        <v>2.5912346907391544</v>
      </c>
    </row>
    <row r="373" spans="1:2">
      <c r="A373" s="24">
        <v>369</v>
      </c>
      <c r="B373" s="25">
        <f ca="1">100*(sim!$C$3+NORMSINV(RAND())*sim!$C$4)</f>
        <v>3.6176819079489291</v>
      </c>
    </row>
    <row r="374" spans="1:2">
      <c r="A374" s="24">
        <v>370</v>
      </c>
      <c r="B374" s="25">
        <f ca="1">100*(sim!$C$3+NORMSINV(RAND())*sim!$C$4)</f>
        <v>2.0991525075469042</v>
      </c>
    </row>
    <row r="375" spans="1:2">
      <c r="A375" s="24">
        <v>371</v>
      </c>
      <c r="B375" s="25">
        <f ca="1">100*(sim!$C$3+NORMSINV(RAND())*sim!$C$4)</f>
        <v>2.7337713379396091</v>
      </c>
    </row>
    <row r="376" spans="1:2">
      <c r="A376" s="24">
        <v>372</v>
      </c>
      <c r="B376" s="25">
        <f ca="1">100*(sim!$C$3+NORMSINV(RAND())*sim!$C$4)</f>
        <v>2.1214445959853943</v>
      </c>
    </row>
    <row r="377" spans="1:2">
      <c r="A377" s="24">
        <v>373</v>
      </c>
      <c r="B377" s="25">
        <f ca="1">100*(sim!$C$3+NORMSINV(RAND())*sim!$C$4)</f>
        <v>1.2569712595732456</v>
      </c>
    </row>
    <row r="378" spans="1:2">
      <c r="A378" s="24">
        <v>374</v>
      </c>
      <c r="B378" s="25">
        <f ca="1">100*(sim!$C$3+NORMSINV(RAND())*sim!$C$4)</f>
        <v>0.25967099723511849</v>
      </c>
    </row>
    <row r="379" spans="1:2">
      <c r="A379" s="24">
        <v>375</v>
      </c>
      <c r="B379" s="25">
        <f ca="1">100*(sim!$C$3+NORMSINV(RAND())*sim!$C$4)</f>
        <v>2.6790110665843079</v>
      </c>
    </row>
    <row r="380" spans="1:2">
      <c r="A380" s="24">
        <v>376</v>
      </c>
      <c r="B380" s="25">
        <f ca="1">100*(sim!$C$3+NORMSINV(RAND())*sim!$C$4)</f>
        <v>2.240844925684871</v>
      </c>
    </row>
    <row r="381" spans="1:2">
      <c r="A381" s="24">
        <v>377</v>
      </c>
      <c r="B381" s="25">
        <f ca="1">100*(sim!$C$3+NORMSINV(RAND())*sim!$C$4)</f>
        <v>1.0617511331231086</v>
      </c>
    </row>
    <row r="382" spans="1:2">
      <c r="A382" s="24">
        <v>378</v>
      </c>
      <c r="B382" s="25">
        <f ca="1">100*(sim!$C$3+NORMSINV(RAND())*sim!$C$4)</f>
        <v>2.5580905008781585</v>
      </c>
    </row>
    <row r="383" spans="1:2">
      <c r="A383" s="24">
        <v>379</v>
      </c>
      <c r="B383" s="25">
        <f ca="1">100*(sim!$C$3+NORMSINV(RAND())*sim!$C$4)</f>
        <v>2.7919574433782959</v>
      </c>
    </row>
    <row r="384" spans="1:2">
      <c r="A384" s="24">
        <v>380</v>
      </c>
      <c r="B384" s="25">
        <f ca="1">100*(sim!$C$3+NORMSINV(RAND())*sim!$C$4)</f>
        <v>2.6739552289012107</v>
      </c>
    </row>
    <row r="385" spans="1:2">
      <c r="A385" s="24">
        <v>381</v>
      </c>
      <c r="B385" s="25">
        <f ca="1">100*(sim!$C$3+NORMSINV(RAND())*sim!$C$4)</f>
        <v>1.645478661971943</v>
      </c>
    </row>
    <row r="386" spans="1:2">
      <c r="A386" s="24">
        <v>382</v>
      </c>
      <c r="B386" s="25">
        <f ca="1">100*(sim!$C$3+NORMSINV(RAND())*sim!$C$4)</f>
        <v>2.0489350506608468</v>
      </c>
    </row>
    <row r="387" spans="1:2">
      <c r="A387" s="24">
        <v>383</v>
      </c>
      <c r="B387" s="25">
        <f ca="1">100*(sim!$C$3+NORMSINV(RAND())*sim!$C$4)</f>
        <v>2.1542983061636671</v>
      </c>
    </row>
    <row r="388" spans="1:2">
      <c r="A388" s="24">
        <v>384</v>
      </c>
      <c r="B388" s="25">
        <f ca="1">100*(sim!$C$3+NORMSINV(RAND())*sim!$C$4)</f>
        <v>1.393926028410216</v>
      </c>
    </row>
    <row r="389" spans="1:2">
      <c r="A389" s="24">
        <v>385</v>
      </c>
      <c r="B389" s="25">
        <f ca="1">100*(sim!$C$3+NORMSINV(RAND())*sim!$C$4)</f>
        <v>1.0561663900848044</v>
      </c>
    </row>
    <row r="390" spans="1:2">
      <c r="A390" s="24">
        <v>386</v>
      </c>
      <c r="B390" s="25">
        <f ca="1">100*(sim!$C$3+NORMSINV(RAND())*sim!$C$4)</f>
        <v>1.991655448878783</v>
      </c>
    </row>
    <row r="391" spans="1:2">
      <c r="A391" s="24">
        <v>387</v>
      </c>
      <c r="B391" s="25">
        <f ca="1">100*(sim!$C$3+NORMSINV(RAND())*sim!$C$4)</f>
        <v>1.9257224603084191</v>
      </c>
    </row>
    <row r="392" spans="1:2">
      <c r="A392" s="24">
        <v>388</v>
      </c>
      <c r="B392" s="25">
        <f ca="1">100*(sim!$C$3+NORMSINV(RAND())*sim!$C$4)</f>
        <v>2.7016804133057302</v>
      </c>
    </row>
    <row r="393" spans="1:2">
      <c r="A393" s="24">
        <v>389</v>
      </c>
      <c r="B393" s="25">
        <f ca="1">100*(sim!$C$3+NORMSINV(RAND())*sim!$C$4)</f>
        <v>0.28038138473688889</v>
      </c>
    </row>
    <row r="394" spans="1:2">
      <c r="A394" s="24">
        <v>390</v>
      </c>
      <c r="B394" s="25">
        <f ca="1">100*(sim!$C$3+NORMSINV(RAND())*sim!$C$4)</f>
        <v>3.3069649735419815</v>
      </c>
    </row>
    <row r="395" spans="1:2">
      <c r="A395" s="24">
        <v>391</v>
      </c>
      <c r="B395" s="25">
        <f ca="1">100*(sim!$C$3+NORMSINV(RAND())*sim!$C$4)</f>
        <v>2.3098514703470601</v>
      </c>
    </row>
    <row r="396" spans="1:2">
      <c r="A396" s="24">
        <v>392</v>
      </c>
      <c r="B396" s="25">
        <f ca="1">100*(sim!$C$3+NORMSINV(RAND())*sim!$C$4)</f>
        <v>1.7845062442846387</v>
      </c>
    </row>
    <row r="397" spans="1:2">
      <c r="A397" s="24">
        <v>393</v>
      </c>
      <c r="B397" s="25">
        <f ca="1">100*(sim!$C$3+NORMSINV(RAND())*sim!$C$4)</f>
        <v>2.1427937123489174</v>
      </c>
    </row>
    <row r="398" spans="1:2">
      <c r="A398" s="24">
        <v>394</v>
      </c>
      <c r="B398" s="25">
        <f ca="1">100*(sim!$C$3+NORMSINV(RAND())*sim!$C$4)</f>
        <v>3.5155346992561882</v>
      </c>
    </row>
    <row r="399" spans="1:2">
      <c r="A399" s="24">
        <v>395</v>
      </c>
      <c r="B399" s="25">
        <f ca="1">100*(sim!$C$3+NORMSINV(RAND())*sim!$C$4)</f>
        <v>2.3141726027197458</v>
      </c>
    </row>
    <row r="400" spans="1:2">
      <c r="A400" s="24">
        <v>396</v>
      </c>
      <c r="B400" s="25">
        <f ca="1">100*(sim!$C$3+NORMSINV(RAND())*sim!$C$4)</f>
        <v>1.3063901385514414</v>
      </c>
    </row>
    <row r="401" spans="1:2">
      <c r="A401" s="24">
        <v>397</v>
      </c>
      <c r="B401" s="25">
        <f ca="1">100*(sim!$C$3+NORMSINV(RAND())*sim!$C$4)</f>
        <v>1.3554216031235884</v>
      </c>
    </row>
    <row r="402" spans="1:2">
      <c r="A402" s="24">
        <v>398</v>
      </c>
      <c r="B402" s="25">
        <f ca="1">100*(sim!$C$3+NORMSINV(RAND())*sim!$C$4)</f>
        <v>0.23112002115415475</v>
      </c>
    </row>
    <row r="403" spans="1:2">
      <c r="A403" s="24">
        <v>399</v>
      </c>
      <c r="B403" s="25">
        <f ca="1">100*(sim!$C$3+NORMSINV(RAND())*sim!$C$4)</f>
        <v>1.1021439992271351</v>
      </c>
    </row>
    <row r="404" spans="1:2">
      <c r="A404" s="24">
        <v>400</v>
      </c>
      <c r="B404" s="25">
        <f ca="1">100*(sim!$C$3+NORMSINV(RAND())*sim!$C$4)</f>
        <v>2.4010001577751341</v>
      </c>
    </row>
    <row r="405" spans="1:2">
      <c r="A405" s="24">
        <v>401</v>
      </c>
      <c r="B405" s="25">
        <f ca="1">100*(sim!$C$3+NORMSINV(RAND())*sim!$C$4)</f>
        <v>2.1517126192244933</v>
      </c>
    </row>
    <row r="406" spans="1:2">
      <c r="A406" s="24">
        <v>402</v>
      </c>
      <c r="B406" s="25">
        <f ca="1">100*(sim!$C$3+NORMSINV(RAND())*sim!$C$4)</f>
        <v>0.31021846244082207</v>
      </c>
    </row>
    <row r="407" spans="1:2">
      <c r="A407" s="24">
        <v>403</v>
      </c>
      <c r="B407" s="25">
        <f ca="1">100*(sim!$C$3+NORMSINV(RAND())*sim!$C$4)</f>
        <v>0.79523511907976152</v>
      </c>
    </row>
    <row r="408" spans="1:2">
      <c r="A408" s="24">
        <v>404</v>
      </c>
      <c r="B408" s="25">
        <f ca="1">100*(sim!$C$3+NORMSINV(RAND())*sim!$C$4)</f>
        <v>1.1798714102535102</v>
      </c>
    </row>
    <row r="409" spans="1:2">
      <c r="A409" s="24">
        <v>405</v>
      </c>
      <c r="B409" s="25">
        <f ca="1">100*(sim!$C$3+NORMSINV(RAND())*sim!$C$4)</f>
        <v>2.5777111112714364</v>
      </c>
    </row>
    <row r="410" spans="1:2">
      <c r="A410" s="24">
        <v>406</v>
      </c>
      <c r="B410" s="25">
        <f ca="1">100*(sim!$C$3+NORMSINV(RAND())*sim!$C$4)</f>
        <v>2.5256454490924414</v>
      </c>
    </row>
    <row r="411" spans="1:2">
      <c r="A411" s="24">
        <v>407</v>
      </c>
      <c r="B411" s="25">
        <f ca="1">100*(sim!$C$3+NORMSINV(RAND())*sim!$C$4)</f>
        <v>1.3541197969786267</v>
      </c>
    </row>
    <row r="412" spans="1:2">
      <c r="A412" s="24">
        <v>408</v>
      </c>
      <c r="B412" s="25">
        <f ca="1">100*(sim!$C$3+NORMSINV(RAND())*sim!$C$4)</f>
        <v>2.1800220492800673</v>
      </c>
    </row>
    <row r="413" spans="1:2">
      <c r="A413" s="24">
        <v>409</v>
      </c>
      <c r="B413" s="25">
        <f ca="1">100*(sim!$C$3+NORMSINV(RAND())*sim!$C$4)</f>
        <v>2.1834137485365099</v>
      </c>
    </row>
    <row r="414" spans="1:2">
      <c r="A414" s="24">
        <v>410</v>
      </c>
      <c r="B414" s="25">
        <f ca="1">100*(sim!$C$3+NORMSINV(RAND())*sim!$C$4)</f>
        <v>0.58863612180066716</v>
      </c>
    </row>
    <row r="415" spans="1:2">
      <c r="A415" s="24">
        <v>411</v>
      </c>
      <c r="B415" s="25">
        <f ca="1">100*(sim!$C$3+NORMSINV(RAND())*sim!$C$4)</f>
        <v>4.0217561696521313</v>
      </c>
    </row>
    <row r="416" spans="1:2">
      <c r="A416" s="24">
        <v>412</v>
      </c>
      <c r="B416" s="25">
        <f ca="1">100*(sim!$C$3+NORMSINV(RAND())*sim!$C$4)</f>
        <v>0.91555207110441061</v>
      </c>
    </row>
    <row r="417" spans="1:2">
      <c r="A417" s="24">
        <v>413</v>
      </c>
      <c r="B417" s="25">
        <f ca="1">100*(sim!$C$3+NORMSINV(RAND())*sim!$C$4)</f>
        <v>2.8549080578748693</v>
      </c>
    </row>
    <row r="418" spans="1:2">
      <c r="A418" s="24">
        <v>414</v>
      </c>
      <c r="B418" s="25">
        <f ca="1">100*(sim!$C$3+NORMSINV(RAND())*sim!$C$4)</f>
        <v>2.9505706851263218</v>
      </c>
    </row>
    <row r="419" spans="1:2">
      <c r="A419" s="24">
        <v>415</v>
      </c>
      <c r="B419" s="25">
        <f ca="1">100*(sim!$C$3+NORMSINV(RAND())*sim!$C$4)</f>
        <v>1.6548870769784956</v>
      </c>
    </row>
    <row r="420" spans="1:2">
      <c r="A420" s="24">
        <v>416</v>
      </c>
      <c r="B420" s="25">
        <f ca="1">100*(sim!$C$3+NORMSINV(RAND())*sim!$C$4)</f>
        <v>2.722218213394128</v>
      </c>
    </row>
    <row r="421" spans="1:2">
      <c r="A421" s="24">
        <v>417</v>
      </c>
      <c r="B421" s="25">
        <f ca="1">100*(sim!$C$3+NORMSINV(RAND())*sim!$C$4)</f>
        <v>3.0847310001176789</v>
      </c>
    </row>
    <row r="422" spans="1:2">
      <c r="A422" s="24">
        <v>418</v>
      </c>
      <c r="B422" s="25">
        <f ca="1">100*(sim!$C$3+NORMSINV(RAND())*sim!$C$4)</f>
        <v>2.5540882743959319</v>
      </c>
    </row>
    <row r="423" spans="1:2">
      <c r="A423" s="24">
        <v>419</v>
      </c>
      <c r="B423" s="25">
        <f ca="1">100*(sim!$C$3+NORMSINV(RAND())*sim!$C$4)</f>
        <v>3.9772739544376794</v>
      </c>
    </row>
    <row r="424" spans="1:2">
      <c r="A424" s="24">
        <v>420</v>
      </c>
      <c r="B424" s="25">
        <f ca="1">100*(sim!$C$3+NORMSINV(RAND())*sim!$C$4)</f>
        <v>2.0303063651269699</v>
      </c>
    </row>
    <row r="425" spans="1:2">
      <c r="A425" s="24">
        <v>421</v>
      </c>
      <c r="B425" s="25">
        <f ca="1">100*(sim!$C$3+NORMSINV(RAND())*sim!$C$4)</f>
        <v>0.69053481099274761</v>
      </c>
    </row>
    <row r="426" spans="1:2">
      <c r="A426" s="24">
        <v>422</v>
      </c>
      <c r="B426" s="25">
        <f ca="1">100*(sim!$C$3+NORMSINV(RAND())*sim!$C$4)</f>
        <v>2.744388973814027</v>
      </c>
    </row>
    <row r="427" spans="1:2">
      <c r="A427" s="24">
        <v>423</v>
      </c>
      <c r="B427" s="25">
        <f ca="1">100*(sim!$C$3+NORMSINV(RAND())*sim!$C$4)</f>
        <v>2.9597231388273917</v>
      </c>
    </row>
    <row r="428" spans="1:2">
      <c r="A428" s="24">
        <v>424</v>
      </c>
      <c r="B428" s="25">
        <f ca="1">100*(sim!$C$3+NORMSINV(RAND())*sim!$C$4)</f>
        <v>3.8726069550276518</v>
      </c>
    </row>
    <row r="429" spans="1:2">
      <c r="A429" s="24">
        <v>425</v>
      </c>
      <c r="B429" s="25">
        <f ca="1">100*(sim!$C$3+NORMSINV(RAND())*sim!$C$4)</f>
        <v>0.41757840947791031</v>
      </c>
    </row>
    <row r="430" spans="1:2">
      <c r="A430" s="24">
        <v>426</v>
      </c>
      <c r="B430" s="25">
        <f ca="1">100*(sim!$C$3+NORMSINV(RAND())*sim!$C$4)</f>
        <v>2.6057176714165942</v>
      </c>
    </row>
    <row r="431" spans="1:2">
      <c r="A431" s="24">
        <v>427</v>
      </c>
      <c r="B431" s="25">
        <f ca="1">100*(sim!$C$3+NORMSINV(RAND())*sim!$C$4)</f>
        <v>1.0611297321131019</v>
      </c>
    </row>
    <row r="432" spans="1:2">
      <c r="A432" s="24">
        <v>428</v>
      </c>
      <c r="B432" s="25">
        <f ca="1">100*(sim!$C$3+NORMSINV(RAND())*sim!$C$4)</f>
        <v>0.60339750358261746</v>
      </c>
    </row>
    <row r="433" spans="1:2">
      <c r="A433" s="24">
        <v>429</v>
      </c>
      <c r="B433" s="25">
        <f ca="1">100*(sim!$C$3+NORMSINV(RAND())*sim!$C$4)</f>
        <v>1.7233934099249268</v>
      </c>
    </row>
    <row r="434" spans="1:2">
      <c r="A434" s="24">
        <v>430</v>
      </c>
      <c r="B434" s="25">
        <f ca="1">100*(sim!$C$3+NORMSINV(RAND())*sim!$C$4)</f>
        <v>1.5577065543032738</v>
      </c>
    </row>
    <row r="435" spans="1:2">
      <c r="A435" s="24">
        <v>431</v>
      </c>
      <c r="B435" s="25">
        <f ca="1">100*(sim!$C$3+NORMSINV(RAND())*sim!$C$4)</f>
        <v>-1.0894685304507359</v>
      </c>
    </row>
    <row r="436" spans="1:2">
      <c r="A436" s="24">
        <v>432</v>
      </c>
      <c r="B436" s="25">
        <f ca="1">100*(sim!$C$3+NORMSINV(RAND())*sim!$C$4)</f>
        <v>2.8810090539219493</v>
      </c>
    </row>
    <row r="437" spans="1:2">
      <c r="A437" s="24">
        <v>433</v>
      </c>
      <c r="B437" s="25">
        <f ca="1">100*(sim!$C$3+NORMSINV(RAND())*sim!$C$4)</f>
        <v>2.6804858837683625</v>
      </c>
    </row>
    <row r="438" spans="1:2">
      <c r="A438" s="24">
        <v>434</v>
      </c>
      <c r="B438" s="25">
        <f ca="1">100*(sim!$C$3+NORMSINV(RAND())*sim!$C$4)</f>
        <v>3.2051800384357856</v>
      </c>
    </row>
    <row r="439" spans="1:2">
      <c r="A439" s="24">
        <v>435</v>
      </c>
      <c r="B439" s="25">
        <f ca="1">100*(sim!$C$3+NORMSINV(RAND())*sim!$C$4)</f>
        <v>1.2321024179399926</v>
      </c>
    </row>
    <row r="440" spans="1:2">
      <c r="A440" s="24">
        <v>436</v>
      </c>
      <c r="B440" s="25">
        <f ca="1">100*(sim!$C$3+NORMSINV(RAND())*sim!$C$4)</f>
        <v>0.414937822032866</v>
      </c>
    </row>
    <row r="441" spans="1:2">
      <c r="A441" s="24">
        <v>437</v>
      </c>
      <c r="B441" s="25">
        <f ca="1">100*(sim!$C$3+NORMSINV(RAND())*sim!$C$4)</f>
        <v>2.8437095779729393</v>
      </c>
    </row>
    <row r="442" spans="1:2">
      <c r="A442" s="24">
        <v>438</v>
      </c>
      <c r="B442" s="25">
        <f ca="1">100*(sim!$C$3+NORMSINV(RAND())*sim!$C$4)</f>
        <v>2.3379280403995764</v>
      </c>
    </row>
    <row r="443" spans="1:2">
      <c r="A443" s="24">
        <v>439</v>
      </c>
      <c r="B443" s="25">
        <f ca="1">100*(sim!$C$3+NORMSINV(RAND())*sim!$C$4)</f>
        <v>1.5326988995068933</v>
      </c>
    </row>
    <row r="444" spans="1:2">
      <c r="A444" s="24">
        <v>440</v>
      </c>
      <c r="B444" s="25">
        <f ca="1">100*(sim!$C$3+NORMSINV(RAND())*sim!$C$4)</f>
        <v>1.9364634937329344</v>
      </c>
    </row>
    <row r="445" spans="1:2">
      <c r="A445" s="24">
        <v>441</v>
      </c>
      <c r="B445" s="25">
        <f ca="1">100*(sim!$C$3+NORMSINV(RAND())*sim!$C$4)</f>
        <v>1.621752071648825</v>
      </c>
    </row>
    <row r="446" spans="1:2">
      <c r="A446" s="24">
        <v>442</v>
      </c>
      <c r="B446" s="25">
        <f ca="1">100*(sim!$C$3+NORMSINV(RAND())*sim!$C$4)</f>
        <v>1.7626199195332894</v>
      </c>
    </row>
    <row r="447" spans="1:2">
      <c r="A447" s="24">
        <v>443</v>
      </c>
      <c r="B447" s="25">
        <f ca="1">100*(sim!$C$3+NORMSINV(RAND())*sim!$C$4)</f>
        <v>2.2469488830277222</v>
      </c>
    </row>
    <row r="448" spans="1:2">
      <c r="A448" s="24">
        <v>444</v>
      </c>
      <c r="B448" s="25">
        <f ca="1">100*(sim!$C$3+NORMSINV(RAND())*sim!$C$4)</f>
        <v>2.6514046430463072</v>
      </c>
    </row>
    <row r="449" spans="1:2">
      <c r="A449" s="24">
        <v>445</v>
      </c>
      <c r="B449" s="25">
        <f ca="1">100*(sim!$C$3+NORMSINV(RAND())*sim!$C$4)</f>
        <v>1.1514841858217761</v>
      </c>
    </row>
    <row r="450" spans="1:2">
      <c r="A450" s="24">
        <v>446</v>
      </c>
      <c r="B450" s="25">
        <f ca="1">100*(sim!$C$3+NORMSINV(RAND())*sim!$C$4)</f>
        <v>1.2262667221538803</v>
      </c>
    </row>
    <row r="451" spans="1:2">
      <c r="A451" s="24">
        <v>447</v>
      </c>
      <c r="B451" s="25">
        <f ca="1">100*(sim!$C$3+NORMSINV(RAND())*sim!$C$4)</f>
        <v>2.2745866449005234</v>
      </c>
    </row>
    <row r="452" spans="1:2">
      <c r="A452" s="24">
        <v>448</v>
      </c>
      <c r="B452" s="25">
        <f ca="1">100*(sim!$C$3+NORMSINV(RAND())*sim!$C$4)</f>
        <v>0.98723567468895945</v>
      </c>
    </row>
    <row r="453" spans="1:2">
      <c r="A453" s="24">
        <v>449</v>
      </c>
      <c r="B453" s="25">
        <f ca="1">100*(sim!$C$3+NORMSINV(RAND())*sim!$C$4)</f>
        <v>0.23082301389995077</v>
      </c>
    </row>
    <row r="454" spans="1:2">
      <c r="A454" s="24">
        <v>450</v>
      </c>
      <c r="B454" s="25">
        <f ca="1">100*(sim!$C$3+NORMSINV(RAND())*sim!$C$4)</f>
        <v>3.9844644829434444</v>
      </c>
    </row>
    <row r="455" spans="1:2">
      <c r="A455" s="24">
        <v>451</v>
      </c>
      <c r="B455" s="25">
        <f ca="1">100*(sim!$C$3+NORMSINV(RAND())*sim!$C$4)</f>
        <v>2.8818831226985449</v>
      </c>
    </row>
    <row r="456" spans="1:2">
      <c r="A456" s="24">
        <v>452</v>
      </c>
      <c r="B456" s="25">
        <f ca="1">100*(sim!$C$3+NORMSINV(RAND())*sim!$C$4)</f>
        <v>3.053368948099433</v>
      </c>
    </row>
    <row r="457" spans="1:2">
      <c r="A457" s="24">
        <v>453</v>
      </c>
      <c r="B457" s="25">
        <f ca="1">100*(sim!$C$3+NORMSINV(RAND())*sim!$C$4)</f>
        <v>3.3465260241257631</v>
      </c>
    </row>
    <row r="458" spans="1:2">
      <c r="A458" s="24">
        <v>454</v>
      </c>
      <c r="B458" s="25">
        <f ca="1">100*(sim!$C$3+NORMSINV(RAND())*sim!$C$4)</f>
        <v>2.2879315109789049</v>
      </c>
    </row>
    <row r="459" spans="1:2">
      <c r="A459" s="24">
        <v>455</v>
      </c>
      <c r="B459" s="25">
        <f ca="1">100*(sim!$C$3+NORMSINV(RAND())*sim!$C$4)</f>
        <v>3.8279368640038278</v>
      </c>
    </row>
    <row r="460" spans="1:2">
      <c r="A460" s="24">
        <v>456</v>
      </c>
      <c r="B460" s="25">
        <f ca="1">100*(sim!$C$3+NORMSINV(RAND())*sim!$C$4)</f>
        <v>1.7332432832655433</v>
      </c>
    </row>
    <row r="461" spans="1:2">
      <c r="A461" s="24">
        <v>457</v>
      </c>
      <c r="B461" s="25">
        <f ca="1">100*(sim!$C$3+NORMSINV(RAND())*sim!$C$4)</f>
        <v>1.8319765123950269</v>
      </c>
    </row>
    <row r="462" spans="1:2">
      <c r="A462" s="24">
        <v>458</v>
      </c>
      <c r="B462" s="25">
        <f ca="1">100*(sim!$C$3+NORMSINV(RAND())*sim!$C$4)</f>
        <v>3.4408821546276438</v>
      </c>
    </row>
    <row r="463" spans="1:2">
      <c r="A463" s="24">
        <v>459</v>
      </c>
      <c r="B463" s="25">
        <f ca="1">100*(sim!$C$3+NORMSINV(RAND())*sim!$C$4)</f>
        <v>2.6471635603026691</v>
      </c>
    </row>
    <row r="464" spans="1:2">
      <c r="A464" s="24">
        <v>460</v>
      </c>
      <c r="B464" s="25">
        <f ca="1">100*(sim!$C$3+NORMSINV(RAND())*sim!$C$4)</f>
        <v>0.33574804044732254</v>
      </c>
    </row>
    <row r="465" spans="1:2">
      <c r="A465" s="24">
        <v>461</v>
      </c>
      <c r="B465" s="25">
        <f ca="1">100*(sim!$C$3+NORMSINV(RAND())*sim!$C$4)</f>
        <v>2.9122042704468005</v>
      </c>
    </row>
    <row r="466" spans="1:2">
      <c r="A466" s="24">
        <v>462</v>
      </c>
      <c r="B466" s="25">
        <f ca="1">100*(sim!$C$3+NORMSINV(RAND())*sim!$C$4)</f>
        <v>-0.44644880835127376</v>
      </c>
    </row>
    <row r="467" spans="1:2">
      <c r="A467" s="24">
        <v>463</v>
      </c>
      <c r="B467" s="25">
        <f ca="1">100*(sim!$C$3+NORMSINV(RAND())*sim!$C$4)</f>
        <v>1.3157065267597765</v>
      </c>
    </row>
    <row r="468" spans="1:2">
      <c r="A468" s="24">
        <v>464</v>
      </c>
      <c r="B468" s="25">
        <f ca="1">100*(sim!$C$3+NORMSINV(RAND())*sim!$C$4)</f>
        <v>1.6801520684434683</v>
      </c>
    </row>
    <row r="469" spans="1:2">
      <c r="A469" s="24">
        <v>465</v>
      </c>
      <c r="B469" s="25">
        <f ca="1">100*(sim!$C$3+NORMSINV(RAND())*sim!$C$4)</f>
        <v>1.6437611634260483</v>
      </c>
    </row>
    <row r="470" spans="1:2">
      <c r="A470" s="24">
        <v>466</v>
      </c>
      <c r="B470" s="25">
        <f ca="1">100*(sim!$C$3+NORMSINV(RAND())*sim!$C$4)</f>
        <v>2.0041156438488432</v>
      </c>
    </row>
    <row r="471" spans="1:2">
      <c r="A471" s="24">
        <v>467</v>
      </c>
      <c r="B471" s="25">
        <f ca="1">100*(sim!$C$3+NORMSINV(RAND())*sim!$C$4)</f>
        <v>2.7623910468956949</v>
      </c>
    </row>
    <row r="472" spans="1:2">
      <c r="A472" s="24">
        <v>468</v>
      </c>
      <c r="B472" s="25">
        <f ca="1">100*(sim!$C$3+NORMSINV(RAND())*sim!$C$4)</f>
        <v>2.1061545660979024</v>
      </c>
    </row>
    <row r="473" spans="1:2">
      <c r="A473" s="24">
        <v>469</v>
      </c>
      <c r="B473" s="25">
        <f ca="1">100*(sim!$C$3+NORMSINV(RAND())*sim!$C$4)</f>
        <v>3.0052980490608707</v>
      </c>
    </row>
    <row r="474" spans="1:2">
      <c r="A474" s="24">
        <v>470</v>
      </c>
      <c r="B474" s="25">
        <f ca="1">100*(sim!$C$3+NORMSINV(RAND())*sim!$C$4)</f>
        <v>2.1153434937546831</v>
      </c>
    </row>
    <row r="475" spans="1:2">
      <c r="A475" s="24">
        <v>471</v>
      </c>
      <c r="B475" s="25">
        <f ca="1">100*(sim!$C$3+NORMSINV(RAND())*sim!$C$4)</f>
        <v>1.6891925469730193</v>
      </c>
    </row>
    <row r="476" spans="1:2">
      <c r="A476" s="24">
        <v>472</v>
      </c>
      <c r="B476" s="25">
        <f ca="1">100*(sim!$C$3+NORMSINV(RAND())*sim!$C$4)</f>
        <v>2.6925705175340764</v>
      </c>
    </row>
    <row r="477" spans="1:2">
      <c r="A477" s="24">
        <v>473</v>
      </c>
      <c r="B477" s="25">
        <f ca="1">100*(sim!$C$3+NORMSINV(RAND())*sim!$C$4)</f>
        <v>1.2313519455582287</v>
      </c>
    </row>
    <row r="478" spans="1:2">
      <c r="A478" s="24">
        <v>474</v>
      </c>
      <c r="B478" s="25">
        <f ca="1">100*(sim!$C$3+NORMSINV(RAND())*sim!$C$4)</f>
        <v>2.0162536229028576</v>
      </c>
    </row>
    <row r="479" spans="1:2">
      <c r="A479" s="24">
        <v>475</v>
      </c>
      <c r="B479" s="25">
        <f ca="1">100*(sim!$C$3+NORMSINV(RAND())*sim!$C$4)</f>
        <v>2.0648755190644761</v>
      </c>
    </row>
    <row r="480" spans="1:2">
      <c r="A480" s="24">
        <v>476</v>
      </c>
      <c r="B480" s="25">
        <f ca="1">100*(sim!$C$3+NORMSINV(RAND())*sim!$C$4)</f>
        <v>2.0856555488030142</v>
      </c>
    </row>
    <row r="481" spans="1:2">
      <c r="A481" s="24">
        <v>477</v>
      </c>
      <c r="B481" s="25">
        <f ca="1">100*(sim!$C$3+NORMSINV(RAND())*sim!$C$4)</f>
        <v>1.9080012087188039</v>
      </c>
    </row>
    <row r="482" spans="1:2">
      <c r="A482" s="24">
        <v>478</v>
      </c>
      <c r="B482" s="25">
        <f ca="1">100*(sim!$C$3+NORMSINV(RAND())*sim!$C$4)</f>
        <v>2.7075761776822369</v>
      </c>
    </row>
    <row r="483" spans="1:2">
      <c r="A483" s="24">
        <v>479</v>
      </c>
      <c r="B483" s="25">
        <f ca="1">100*(sim!$C$3+NORMSINV(RAND())*sim!$C$4)</f>
        <v>1.5754374617893627</v>
      </c>
    </row>
    <row r="484" spans="1:2">
      <c r="A484" s="24">
        <v>480</v>
      </c>
      <c r="B484" s="25">
        <f ca="1">100*(sim!$C$3+NORMSINV(RAND())*sim!$C$4)</f>
        <v>0.67772442747668415</v>
      </c>
    </row>
    <row r="485" spans="1:2">
      <c r="A485" s="24">
        <v>481</v>
      </c>
      <c r="B485" s="25">
        <f ca="1">100*(sim!$C$3+NORMSINV(RAND())*sim!$C$4)</f>
        <v>1.8622223510543279</v>
      </c>
    </row>
    <row r="486" spans="1:2">
      <c r="A486" s="24">
        <v>482</v>
      </c>
      <c r="B486" s="25">
        <f ca="1">100*(sim!$C$3+NORMSINV(RAND())*sim!$C$4)</f>
        <v>1.4382573204788081</v>
      </c>
    </row>
    <row r="487" spans="1:2">
      <c r="A487" s="24">
        <v>483</v>
      </c>
      <c r="B487" s="25">
        <f ca="1">100*(sim!$C$3+NORMSINV(RAND())*sim!$C$4)</f>
        <v>0.98441781228194791</v>
      </c>
    </row>
    <row r="488" spans="1:2">
      <c r="A488" s="24">
        <v>484</v>
      </c>
      <c r="B488" s="25">
        <f ca="1">100*(sim!$C$3+NORMSINV(RAND())*sim!$C$4)</f>
        <v>1.5313341999461396</v>
      </c>
    </row>
    <row r="489" spans="1:2">
      <c r="A489" s="24">
        <v>485</v>
      </c>
      <c r="B489" s="25">
        <f ca="1">100*(sim!$C$3+NORMSINV(RAND())*sim!$C$4)</f>
        <v>1.8089755064572148</v>
      </c>
    </row>
    <row r="490" spans="1:2">
      <c r="A490" s="24">
        <v>486</v>
      </c>
      <c r="B490" s="25">
        <f ca="1">100*(sim!$C$3+NORMSINV(RAND())*sim!$C$4)</f>
        <v>-7.937225636565487E-2</v>
      </c>
    </row>
    <row r="491" spans="1:2">
      <c r="A491" s="24">
        <v>487</v>
      </c>
      <c r="B491" s="25">
        <f ca="1">100*(sim!$C$3+NORMSINV(RAND())*sim!$C$4)</f>
        <v>1.2676446088570368</v>
      </c>
    </row>
    <row r="492" spans="1:2">
      <c r="A492" s="24">
        <v>488</v>
      </c>
      <c r="B492" s="25">
        <f ca="1">100*(sim!$C$3+NORMSINV(RAND())*sim!$C$4)</f>
        <v>2.8843228726827359</v>
      </c>
    </row>
    <row r="493" spans="1:2">
      <c r="A493" s="24">
        <v>489</v>
      </c>
      <c r="B493" s="25">
        <f ca="1">100*(sim!$C$3+NORMSINV(RAND())*sim!$C$4)</f>
        <v>0.15686808288426293</v>
      </c>
    </row>
    <row r="494" spans="1:2">
      <c r="A494" s="24">
        <v>490</v>
      </c>
      <c r="B494" s="25">
        <f ca="1">100*(sim!$C$3+NORMSINV(RAND())*sim!$C$4)</f>
        <v>1.4512159143281829</v>
      </c>
    </row>
    <row r="495" spans="1:2">
      <c r="A495" s="24">
        <v>491</v>
      </c>
      <c r="B495" s="25">
        <f ca="1">100*(sim!$C$3+NORMSINV(RAND())*sim!$C$4)</f>
        <v>2.3586852281482837</v>
      </c>
    </row>
    <row r="496" spans="1:2">
      <c r="A496" s="24">
        <v>492</v>
      </c>
      <c r="B496" s="25">
        <f ca="1">100*(sim!$C$3+NORMSINV(RAND())*sim!$C$4)</f>
        <v>2.8811583346132328</v>
      </c>
    </row>
    <row r="497" spans="1:2">
      <c r="A497" s="24">
        <v>493</v>
      </c>
      <c r="B497" s="25">
        <f ca="1">100*(sim!$C$3+NORMSINV(RAND())*sim!$C$4)</f>
        <v>2.5695834082699109</v>
      </c>
    </row>
    <row r="498" spans="1:2">
      <c r="A498" s="24">
        <v>494</v>
      </c>
      <c r="B498" s="25">
        <f ca="1">100*(sim!$C$3+NORMSINV(RAND())*sim!$C$4)</f>
        <v>2.5858417536927276</v>
      </c>
    </row>
    <row r="499" spans="1:2">
      <c r="A499" s="24">
        <v>495</v>
      </c>
      <c r="B499" s="25">
        <f ca="1">100*(sim!$C$3+NORMSINV(RAND())*sim!$C$4)</f>
        <v>0.64825463607464506</v>
      </c>
    </row>
    <row r="500" spans="1:2">
      <c r="A500" s="24">
        <v>496</v>
      </c>
      <c r="B500" s="25">
        <f ca="1">100*(sim!$C$3+NORMSINV(RAND())*sim!$C$4)</f>
        <v>-8.384666906987373E-2</v>
      </c>
    </row>
    <row r="501" spans="1:2">
      <c r="A501" s="24">
        <v>497</v>
      </c>
      <c r="B501" s="25">
        <f ca="1">100*(sim!$C$3+NORMSINV(RAND())*sim!$C$4)</f>
        <v>1.4153529958698907</v>
      </c>
    </row>
    <row r="502" spans="1:2">
      <c r="A502" s="24">
        <v>498</v>
      </c>
      <c r="B502" s="25">
        <f ca="1">100*(sim!$C$3+NORMSINV(RAND())*sim!$C$4)</f>
        <v>1.1597474986650056</v>
      </c>
    </row>
    <row r="503" spans="1:2">
      <c r="A503" s="24">
        <v>499</v>
      </c>
      <c r="B503" s="25">
        <f ca="1">100*(sim!$C$3+NORMSINV(RAND())*sim!$C$4)</f>
        <v>3.4474432731305447</v>
      </c>
    </row>
    <row r="504" spans="1:2">
      <c r="A504" s="24">
        <v>500</v>
      </c>
      <c r="B504" s="25">
        <f ca="1">100*(sim!$C$3+NORMSINV(RAND())*sim!$C$4)</f>
        <v>2.3180238150248194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sim</vt:lpstr>
      <vt:lpstr>histogram100</vt:lpstr>
      <vt:lpstr>histogram500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Roberts Grava</cp:lastModifiedBy>
  <dcterms:created xsi:type="dcterms:W3CDTF">2009-08-03T16:47:03Z</dcterms:created>
  <dcterms:modified xsi:type="dcterms:W3CDTF">2025-10-08T10:03:18Z</dcterms:modified>
</cp:coreProperties>
</file>