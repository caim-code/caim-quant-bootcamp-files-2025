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F:\Risk Management\Training Material\2025.10 Seminar\2025.10.06 Monday - Risk and Performance\"/>
    </mc:Choice>
  </mc:AlternateContent>
  <xr:revisionPtr revIDLastSave="0" documentId="13_ncr:1_{E1E58109-2E92-4807-B8C4-69349EA0BACF}" xr6:coauthVersionLast="47" xr6:coauthVersionMax="47" xr10:uidLastSave="{00000000-0000-0000-0000-000000000000}"/>
  <bookViews>
    <workbookView xWindow="38290" yWindow="-110" windowWidth="29020" windowHeight="15700" activeTab="4" xr2:uid="{5E10C3C8-7DBA-473C-AD13-62FA1E645620}"/>
  </bookViews>
  <sheets>
    <sheet name="Notes and disclaimer" sheetId="29" r:id="rId1"/>
    <sheet name="1" sheetId="10" r:id="rId2"/>
    <sheet name="2" sheetId="25" r:id="rId3"/>
    <sheet name="3" sheetId="13" r:id="rId4"/>
    <sheet name="4" sheetId="1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'2'!$E$5</definedName>
    <definedName name="correl0.5">'2'!$E$5</definedName>
    <definedName name="correlAB">#REF!</definedName>
    <definedName name="corrs">#REF!</definedName>
    <definedName name="CVaRA" localSheetId="1">'1'!$C$7</definedName>
    <definedName name="CVaRA" localSheetId="2">'2'!$C$9</definedName>
    <definedName name="CVaRB" localSheetId="1">'1'!$D$7</definedName>
    <definedName name="CVaRB" localSheetId="2">'2'!$D$9</definedName>
    <definedName name="lambda1">#REF!</definedName>
    <definedName name="lambda2">#REF!</definedName>
    <definedName name="muA" localSheetId="1">'1'!$C$4</definedName>
    <definedName name="muA" localSheetId="2">'2'!$C$6</definedName>
    <definedName name="muAB">#REF!</definedName>
    <definedName name="muB" localSheetId="1">'1'!$D$4</definedName>
    <definedName name="muB" localSheetId="2">'2'!$D$6</definedName>
    <definedName name="muB">#REF!</definedName>
    <definedName name="pf_wts">#REF!</definedName>
    <definedName name="randcorrel">#REF!</definedName>
    <definedName name="rands">#REF!</definedName>
    <definedName name="randscorrel">#REF!</definedName>
    <definedName name="rot_mx">#REF!</definedName>
    <definedName name="sigmaA" localSheetId="1">'1'!$C$5</definedName>
    <definedName name="sigmaA" localSheetId="2">'2'!$C$7</definedName>
    <definedName name="sigmaB" localSheetId="1">'1'!$D$5</definedName>
    <definedName name="sigmaB" localSheetId="2">'2'!$D$7</definedName>
    <definedName name="simreturns">#REF!</definedName>
    <definedName name="SlideTwo">'2'!$B$3</definedName>
    <definedName name="theta">#REF!</definedName>
    <definedName name="VaR_Threshold" localSheetId="1">'1'!$C$8</definedName>
    <definedName name="VaR_Threshold" localSheetId="2">'2'!$C$11</definedName>
    <definedName name="VaR_Threshold">[1]Slide5!$C$1</definedName>
    <definedName name="VaRA" localSheetId="1">'1'!$C$6</definedName>
    <definedName name="VaRA" localSheetId="2">'2'!$C$8</definedName>
    <definedName name="VaRA">[1]Slide5!$C$5</definedName>
    <definedName name="VaRB" localSheetId="1">'1'!$D$6</definedName>
    <definedName name="VaRB" localSheetId="2">'2'!$D$8</definedName>
    <definedName name="wtA">'[1] Covar SAFE'!$C$11</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 i="25" l="1"/>
  <c r="L19" i="13" l="1"/>
  <c r="L18" i="13"/>
  <c r="L17" i="13"/>
  <c r="L16" i="13"/>
  <c r="L15" i="13"/>
  <c r="L14" i="13"/>
  <c r="L13" i="13"/>
  <c r="L12" i="13"/>
  <c r="L11" i="13"/>
  <c r="L10" i="13"/>
  <c r="L9" i="13"/>
  <c r="L8" i="13"/>
  <c r="L7" i="13"/>
  <c r="L6" i="13"/>
  <c r="B15" i="25" l="1"/>
  <c r="D8" i="25" l="1"/>
  <c r="C8" i="25"/>
  <c r="C9" i="25"/>
  <c r="D9" i="25"/>
  <c r="B215" i="25" l="1"/>
  <c r="A16" i="25" s="1"/>
  <c r="I11" i="10"/>
  <c r="A10" i="10" l="1"/>
  <c r="K9" i="14" l="1"/>
  <c r="F7" i="13"/>
  <c r="D7" i="13"/>
  <c r="B7" i="13"/>
  <c r="C7" i="13"/>
  <c r="D6" i="13"/>
  <c r="B6" i="13"/>
  <c r="C6" i="13"/>
  <c r="D5" i="13"/>
  <c r="B5" i="13"/>
  <c r="C5" i="13"/>
  <c r="D4" i="13"/>
  <c r="B4" i="13"/>
  <c r="C4" i="13"/>
  <c r="B16" i="25"/>
  <c r="D15" i="25"/>
  <c r="C15" i="25"/>
  <c r="I27" i="10"/>
  <c r="I26" i="10"/>
  <c r="F26" i="10"/>
  <c r="I25" i="10"/>
  <c r="J25" i="10" s="1"/>
  <c r="F25" i="10"/>
  <c r="G25" i="10" s="1"/>
  <c r="I24" i="10"/>
  <c r="F24" i="10"/>
  <c r="I23" i="10"/>
  <c r="F23" i="10"/>
  <c r="I22" i="10"/>
  <c r="J22" i="10" s="1"/>
  <c r="F22" i="10"/>
  <c r="G22" i="10" s="1"/>
  <c r="I21" i="10"/>
  <c r="F21" i="10"/>
  <c r="I20" i="10"/>
  <c r="F20" i="10"/>
  <c r="I19" i="10"/>
  <c r="J19" i="10" s="1"/>
  <c r="F19" i="10"/>
  <c r="G19" i="10" s="1"/>
  <c r="I18" i="10"/>
  <c r="F18" i="10"/>
  <c r="D7" i="10"/>
  <c r="I14" i="10" s="1"/>
  <c r="C7" i="10"/>
  <c r="F13" i="10" s="1"/>
  <c r="G13" i="10" s="1"/>
  <c r="D6" i="10"/>
  <c r="I15" i="10" s="1"/>
  <c r="C6" i="10"/>
  <c r="K6" i="13" l="1"/>
  <c r="I12" i="10"/>
  <c r="I13" i="10"/>
  <c r="J13" i="10" s="1"/>
  <c r="I16" i="10"/>
  <c r="J16" i="10" s="1"/>
  <c r="G7" i="13"/>
  <c r="I17" i="10"/>
  <c r="B17" i="25"/>
  <c r="D16" i="25"/>
  <c r="C16" i="25"/>
  <c r="F14" i="10"/>
  <c r="F12" i="10"/>
  <c r="F11" i="10"/>
  <c r="F16" i="10"/>
  <c r="G16" i="10" s="1"/>
  <c r="F17" i="10"/>
  <c r="F15" i="10"/>
  <c r="I19" i="14" l="1"/>
  <c r="F8" i="13"/>
  <c r="K7" i="13"/>
  <c r="B18" i="25"/>
  <c r="D18" i="25" s="1"/>
  <c r="C17" i="25"/>
  <c r="D17" i="25"/>
  <c r="J19" i="14" l="1"/>
  <c r="L19" i="14"/>
  <c r="B19" i="25"/>
  <c r="D19" i="25" s="1"/>
  <c r="K19" i="14"/>
  <c r="I18" i="14"/>
  <c r="M19" i="14"/>
  <c r="G8" i="13"/>
  <c r="F9" i="13" s="1"/>
  <c r="C18" i="25"/>
  <c r="B20" i="25"/>
  <c r="C19" i="25" l="1"/>
  <c r="J18" i="14"/>
  <c r="L18" i="14"/>
  <c r="M18" i="14"/>
  <c r="K18" i="14"/>
  <c r="K8" i="13"/>
  <c r="G9" i="13"/>
  <c r="F10" i="13" s="1"/>
  <c r="D20" i="25"/>
  <c r="B21" i="25"/>
  <c r="C20" i="25"/>
  <c r="G10" i="13" l="1"/>
  <c r="F11" i="13" s="1"/>
  <c r="K9" i="13"/>
  <c r="D21" i="25"/>
  <c r="C21" i="25"/>
  <c r="B22" i="25"/>
  <c r="G11" i="13" l="1"/>
  <c r="F12" i="13" s="1"/>
  <c r="D22" i="25"/>
  <c r="B23" i="25"/>
  <c r="C22" i="25"/>
  <c r="G12" i="13" l="1"/>
  <c r="F13" i="13" s="1"/>
  <c r="K10" i="13"/>
  <c r="D23" i="25"/>
  <c r="C23" i="25"/>
  <c r="B24" i="25"/>
  <c r="K11" i="13" l="1"/>
  <c r="G13" i="13"/>
  <c r="F14" i="13" s="1"/>
  <c r="D24" i="25"/>
  <c r="B25" i="25"/>
  <c r="C24" i="25"/>
  <c r="K13" i="13" l="1"/>
  <c r="G14" i="13"/>
  <c r="F15" i="13" s="1"/>
  <c r="K12" i="13"/>
  <c r="C25" i="25"/>
  <c r="D25" i="25"/>
  <c r="B26" i="25"/>
  <c r="G15" i="13" l="1"/>
  <c r="F16" i="13" s="1"/>
  <c r="C26" i="25"/>
  <c r="B27" i="25"/>
  <c r="D26" i="25"/>
  <c r="G16" i="13" l="1"/>
  <c r="F17" i="13" s="1"/>
  <c r="K14" i="13"/>
  <c r="C27" i="25"/>
  <c r="B28" i="25"/>
  <c r="D27" i="25"/>
  <c r="K15" i="13" l="1"/>
  <c r="G17" i="13"/>
  <c r="F18" i="13" s="1"/>
  <c r="C28" i="25"/>
  <c r="D28" i="25"/>
  <c r="B29" i="25"/>
  <c r="K16" i="13" l="1"/>
  <c r="G18" i="13"/>
  <c r="F19" i="13" s="1"/>
  <c r="C29" i="25"/>
  <c r="D29" i="25"/>
  <c r="B30" i="25"/>
  <c r="G19" i="13" l="1"/>
  <c r="K17" i="13"/>
  <c r="C30" i="25"/>
  <c r="D30" i="25"/>
  <c r="B31" i="25"/>
  <c r="K19" i="13" l="1"/>
  <c r="K18" i="13"/>
  <c r="C31" i="25"/>
  <c r="D31" i="25"/>
  <c r="B32" i="25"/>
  <c r="J4" i="13" l="1"/>
  <c r="C32" i="25"/>
  <c r="B33" i="25"/>
  <c r="D32" i="25"/>
  <c r="J19" i="13" l="1"/>
  <c r="J11" i="13"/>
  <c r="J15" i="13"/>
  <c r="J12" i="13"/>
  <c r="J18" i="13"/>
  <c r="J10" i="13"/>
  <c r="J14" i="13"/>
  <c r="J9" i="13"/>
  <c r="J16" i="13"/>
  <c r="J13" i="13"/>
  <c r="J8" i="13"/>
  <c r="J6" i="13"/>
  <c r="J7" i="13"/>
  <c r="J17" i="13"/>
  <c r="C33" i="25"/>
  <c r="D33" i="25"/>
  <c r="B34" i="25"/>
  <c r="C34" i="25" l="1"/>
  <c r="B35" i="25"/>
  <c r="D34" i="25"/>
  <c r="C35" i="25" l="1"/>
  <c r="D35" i="25"/>
  <c r="B36" i="25"/>
  <c r="C36" i="25" l="1"/>
  <c r="D36" i="25"/>
  <c r="B37" i="25"/>
  <c r="C37" i="25" l="1"/>
  <c r="D37" i="25"/>
  <c r="B38" i="25"/>
  <c r="C38" i="25" l="1"/>
  <c r="B39" i="25"/>
  <c r="D38" i="25"/>
  <c r="C39" i="25" l="1"/>
  <c r="D39" i="25"/>
  <c r="B40" i="25"/>
  <c r="C40" i="25" l="1"/>
  <c r="D40" i="25"/>
  <c r="B41" i="25"/>
  <c r="C41" i="25" l="1"/>
  <c r="D41" i="25"/>
  <c r="B42" i="25"/>
  <c r="C42" i="25" l="1"/>
  <c r="B43" i="25"/>
  <c r="D42" i="25"/>
  <c r="C43" i="25" l="1"/>
  <c r="D43" i="25"/>
  <c r="B44" i="25"/>
  <c r="C44" i="25" l="1"/>
  <c r="D44" i="25"/>
  <c r="B45" i="25"/>
  <c r="C45" i="25" l="1"/>
  <c r="D45" i="25"/>
  <c r="B46" i="25"/>
  <c r="C46" i="25" l="1"/>
  <c r="B47" i="25"/>
  <c r="D46" i="25"/>
  <c r="C47" i="25" l="1"/>
  <c r="D47" i="25"/>
  <c r="B48" i="25"/>
  <c r="C48" i="25" l="1"/>
  <c r="B49" i="25"/>
  <c r="D48" i="25"/>
  <c r="C49" i="25" l="1"/>
  <c r="D49" i="25"/>
  <c r="B50" i="25"/>
  <c r="C50" i="25" l="1"/>
  <c r="D50" i="25"/>
  <c r="B51" i="25"/>
  <c r="C51" i="25" l="1"/>
  <c r="D51" i="25"/>
  <c r="B52" i="25"/>
  <c r="C52" i="25" l="1"/>
  <c r="B53" i="25"/>
  <c r="D52" i="25"/>
  <c r="C53" i="25" l="1"/>
  <c r="B54" i="25"/>
  <c r="D53" i="25"/>
  <c r="C54" i="25" l="1"/>
  <c r="B55" i="25"/>
  <c r="D54" i="25"/>
  <c r="C55" i="25" l="1"/>
  <c r="B56" i="25"/>
  <c r="D55" i="25"/>
  <c r="C56" i="25" l="1"/>
  <c r="D56" i="25"/>
  <c r="B57" i="25"/>
  <c r="C57" i="25" l="1"/>
  <c r="B58" i="25"/>
  <c r="D57" i="25"/>
  <c r="C58" i="25" l="1"/>
  <c r="B59" i="25"/>
  <c r="D58" i="25"/>
  <c r="C59" i="25" l="1"/>
  <c r="B60" i="25"/>
  <c r="D59" i="25"/>
  <c r="C60" i="25" l="1"/>
  <c r="B61" i="25"/>
  <c r="D60" i="25"/>
  <c r="C61" i="25" l="1"/>
  <c r="B62" i="25"/>
  <c r="D61" i="25"/>
  <c r="C62" i="25" l="1"/>
  <c r="D62" i="25"/>
  <c r="B63" i="25"/>
  <c r="C63" i="25" l="1"/>
  <c r="B64" i="25"/>
  <c r="D63" i="25"/>
  <c r="C64" i="25" l="1"/>
  <c r="B65" i="25"/>
  <c r="D64" i="25"/>
  <c r="C65" i="25" l="1"/>
  <c r="B66" i="25"/>
  <c r="D65" i="25"/>
  <c r="C66" i="25" l="1"/>
  <c r="D66" i="25"/>
  <c r="B67" i="25"/>
  <c r="C67" i="25" l="1"/>
  <c r="B68" i="25"/>
  <c r="D67" i="25"/>
  <c r="C68" i="25" l="1"/>
  <c r="B69" i="25"/>
  <c r="D68" i="25"/>
  <c r="C69" i="25" l="1"/>
  <c r="B70" i="25"/>
  <c r="D69" i="25"/>
  <c r="C70" i="25" l="1"/>
  <c r="B71" i="25"/>
  <c r="D70" i="25"/>
  <c r="C71" i="25" l="1"/>
  <c r="B72" i="25"/>
  <c r="D71" i="25"/>
  <c r="C72" i="25" l="1"/>
  <c r="B73" i="25"/>
  <c r="D72" i="25"/>
  <c r="C73" i="25" l="1"/>
  <c r="B74" i="25"/>
  <c r="D73" i="25"/>
  <c r="B75" i="25" l="1"/>
  <c r="D74" i="25"/>
  <c r="C74" i="25"/>
  <c r="B76" i="25" l="1"/>
  <c r="C75" i="25"/>
  <c r="D75" i="25"/>
  <c r="B77" i="25" l="1"/>
  <c r="D76" i="25"/>
  <c r="C76" i="25"/>
  <c r="B78" i="25" l="1"/>
  <c r="D77" i="25"/>
  <c r="C77" i="25"/>
  <c r="B79" i="25" l="1"/>
  <c r="C78" i="25"/>
  <c r="D78" i="25"/>
  <c r="B80" i="25" l="1"/>
  <c r="C79" i="25"/>
  <c r="D79" i="25"/>
  <c r="B81" i="25" l="1"/>
  <c r="D80" i="25"/>
  <c r="C80" i="25"/>
  <c r="B82" i="25" l="1"/>
  <c r="D81" i="25"/>
  <c r="C81" i="25"/>
  <c r="B83" i="25" l="1"/>
  <c r="C82" i="25"/>
  <c r="D82" i="25"/>
  <c r="B84" i="25" l="1"/>
  <c r="C83" i="25"/>
  <c r="D83" i="25"/>
  <c r="B85" i="25" l="1"/>
  <c r="D84" i="25"/>
  <c r="C84" i="25"/>
  <c r="B86" i="25" l="1"/>
  <c r="D85" i="25"/>
  <c r="C85" i="25"/>
  <c r="B87" i="25" l="1"/>
  <c r="D86" i="25"/>
  <c r="C86" i="25"/>
  <c r="B88" i="25" l="1"/>
  <c r="C87" i="25"/>
  <c r="D87" i="25"/>
  <c r="B89" i="25" l="1"/>
  <c r="D88" i="25"/>
  <c r="C88" i="25"/>
  <c r="B90" i="25" l="1"/>
  <c r="D89" i="25"/>
  <c r="C89" i="25"/>
  <c r="B91" i="25" l="1"/>
  <c r="D90" i="25"/>
  <c r="C90" i="25"/>
  <c r="B92" i="25" l="1"/>
  <c r="C91" i="25"/>
  <c r="D91" i="25"/>
  <c r="B93" i="25" l="1"/>
  <c r="D92" i="25"/>
  <c r="C92" i="25"/>
  <c r="B94" i="25" l="1"/>
  <c r="D93" i="25"/>
  <c r="C93" i="25"/>
  <c r="B95" i="25" l="1"/>
  <c r="D94" i="25"/>
  <c r="C94" i="25"/>
  <c r="B96" i="25" l="1"/>
  <c r="D95" i="25"/>
  <c r="C95" i="25"/>
  <c r="B97" i="25" l="1"/>
  <c r="D96" i="25"/>
  <c r="C96" i="25"/>
  <c r="B98" i="25" l="1"/>
  <c r="D97" i="25"/>
  <c r="C97" i="25"/>
  <c r="B99" i="25" l="1"/>
  <c r="D98" i="25"/>
  <c r="C98" i="25"/>
  <c r="B100" i="25" l="1"/>
  <c r="D99" i="25"/>
  <c r="C99" i="25"/>
  <c r="B101" i="25" l="1"/>
  <c r="D100" i="25"/>
  <c r="C100" i="25"/>
  <c r="B102" i="25" l="1"/>
  <c r="D101" i="25"/>
  <c r="C101" i="25"/>
  <c r="B103" i="25" l="1"/>
  <c r="D102" i="25"/>
  <c r="C102" i="25"/>
  <c r="B104" i="25" l="1"/>
  <c r="D103" i="25"/>
  <c r="C103" i="25"/>
  <c r="B105" i="25" l="1"/>
  <c r="D104" i="25"/>
  <c r="C104" i="25"/>
  <c r="B106" i="25" l="1"/>
  <c r="D105" i="25"/>
  <c r="C105" i="25"/>
  <c r="B107" i="25" l="1"/>
  <c r="D106" i="25"/>
  <c r="C106" i="25"/>
  <c r="B108" i="25" l="1"/>
  <c r="C107" i="25"/>
  <c r="D107" i="25"/>
  <c r="B109" i="25" l="1"/>
  <c r="D108" i="25"/>
  <c r="C108" i="25"/>
  <c r="B110" i="25" l="1"/>
  <c r="D109" i="25"/>
  <c r="C109" i="25"/>
  <c r="B111" i="25" l="1"/>
  <c r="D110" i="25"/>
  <c r="C110" i="25"/>
  <c r="B112" i="25" l="1"/>
  <c r="D111" i="25"/>
  <c r="C111" i="25"/>
  <c r="B113" i="25" l="1"/>
  <c r="D112" i="25"/>
  <c r="C112" i="25"/>
  <c r="B114" i="25" l="1"/>
  <c r="D113" i="25"/>
  <c r="C113" i="25"/>
  <c r="B115" i="25" l="1"/>
  <c r="D114" i="25"/>
  <c r="C114" i="25"/>
  <c r="B116" i="25" l="1"/>
  <c r="D115" i="25"/>
  <c r="C115" i="25"/>
  <c r="B117" i="25" l="1"/>
  <c r="D116" i="25"/>
  <c r="C116" i="25"/>
  <c r="B118" i="25" l="1"/>
  <c r="D117" i="25"/>
  <c r="C117" i="25"/>
  <c r="B119" i="25" l="1"/>
  <c r="C118" i="25"/>
  <c r="D118" i="25"/>
  <c r="B120" i="25" l="1"/>
  <c r="D119" i="25"/>
  <c r="C119" i="25"/>
  <c r="B121" i="25" l="1"/>
  <c r="D120" i="25"/>
  <c r="C120" i="25"/>
  <c r="B122" i="25" l="1"/>
  <c r="D121" i="25"/>
  <c r="C121" i="25"/>
  <c r="B123" i="25" l="1"/>
  <c r="C122" i="25"/>
  <c r="D122" i="25"/>
  <c r="B124" i="25" l="1"/>
  <c r="D123" i="25"/>
  <c r="C123" i="25"/>
  <c r="B125" i="25" l="1"/>
  <c r="D124" i="25"/>
  <c r="C124" i="25"/>
  <c r="B126" i="25" l="1"/>
  <c r="D125" i="25"/>
  <c r="C125" i="25"/>
  <c r="B127" i="25" l="1"/>
  <c r="C126" i="25"/>
  <c r="D126" i="25"/>
  <c r="B128" i="25" l="1"/>
  <c r="D127" i="25"/>
  <c r="C127" i="25"/>
  <c r="C128" i="25" l="1"/>
  <c r="B129" i="25"/>
  <c r="D128" i="25"/>
  <c r="C129" i="25" l="1"/>
  <c r="B130" i="25"/>
  <c r="D129" i="25"/>
  <c r="C130" i="25" l="1"/>
  <c r="B131" i="25"/>
  <c r="D130" i="25"/>
  <c r="C131" i="25" l="1"/>
  <c r="D131" i="25"/>
  <c r="B132" i="25"/>
  <c r="C132" i="25" l="1"/>
  <c r="D132" i="25"/>
  <c r="B133" i="25"/>
  <c r="C133" i="25" l="1"/>
  <c r="D133" i="25"/>
  <c r="B134" i="25"/>
  <c r="C134" i="25" l="1"/>
  <c r="D134" i="25"/>
  <c r="B135" i="25"/>
  <c r="C135" i="25" l="1"/>
  <c r="D135" i="25"/>
  <c r="B136" i="25"/>
  <c r="C136" i="25" l="1"/>
  <c r="D136" i="25"/>
  <c r="B137" i="25"/>
  <c r="C137" i="25" l="1"/>
  <c r="D137" i="25"/>
  <c r="B138" i="25"/>
  <c r="C138" i="25" l="1"/>
  <c r="D138" i="25"/>
  <c r="B139" i="25"/>
  <c r="C139" i="25" l="1"/>
  <c r="D139" i="25"/>
  <c r="B140" i="25"/>
  <c r="C140" i="25" l="1"/>
  <c r="D140" i="25"/>
  <c r="B141" i="25"/>
  <c r="C141" i="25" l="1"/>
  <c r="D141" i="25"/>
  <c r="B142" i="25"/>
  <c r="C142" i="25" l="1"/>
  <c r="D142" i="25"/>
  <c r="B143" i="25"/>
  <c r="C143" i="25" l="1"/>
  <c r="D143" i="25"/>
  <c r="B144" i="25"/>
  <c r="C144" i="25" l="1"/>
  <c r="D144" i="25"/>
  <c r="B145" i="25"/>
  <c r="C145" i="25" l="1"/>
  <c r="D145" i="25"/>
  <c r="B146" i="25"/>
  <c r="C146" i="25" l="1"/>
  <c r="D146" i="25"/>
  <c r="B147" i="25"/>
  <c r="C147" i="25" l="1"/>
  <c r="D147" i="25"/>
  <c r="B148" i="25"/>
  <c r="C148" i="25" l="1"/>
  <c r="D148" i="25"/>
  <c r="B149" i="25"/>
  <c r="C149" i="25" l="1"/>
  <c r="D149" i="25"/>
  <c r="B150" i="25"/>
  <c r="C150" i="25" l="1"/>
  <c r="D150" i="25"/>
  <c r="B151" i="25"/>
  <c r="C151" i="25" l="1"/>
  <c r="D151" i="25"/>
  <c r="B152" i="25"/>
  <c r="C152" i="25" l="1"/>
  <c r="D152" i="25"/>
  <c r="B153" i="25"/>
  <c r="C153" i="25" l="1"/>
  <c r="D153" i="25"/>
  <c r="B154" i="25"/>
  <c r="C154" i="25" l="1"/>
  <c r="D154" i="25"/>
  <c r="B155" i="25"/>
  <c r="C155" i="25" l="1"/>
  <c r="D155" i="25"/>
  <c r="B156" i="25"/>
  <c r="C156" i="25" l="1"/>
  <c r="D156" i="25"/>
  <c r="B157" i="25"/>
  <c r="C157" i="25" l="1"/>
  <c r="D157" i="25"/>
  <c r="B158" i="25"/>
  <c r="C158" i="25" l="1"/>
  <c r="D158" i="25"/>
  <c r="B159" i="25"/>
  <c r="C159" i="25" l="1"/>
  <c r="D159" i="25"/>
  <c r="B160" i="25"/>
  <c r="C160" i="25" l="1"/>
  <c r="D160" i="25"/>
  <c r="B161" i="25"/>
  <c r="C161" i="25" l="1"/>
  <c r="D161" i="25"/>
  <c r="B162" i="25"/>
  <c r="C162" i="25" l="1"/>
  <c r="D162" i="25"/>
  <c r="B163" i="25"/>
  <c r="C163" i="25" l="1"/>
  <c r="D163" i="25"/>
  <c r="B164" i="25"/>
  <c r="C164" i="25" l="1"/>
  <c r="D164" i="25"/>
  <c r="B165" i="25"/>
  <c r="C165" i="25" l="1"/>
  <c r="D165" i="25"/>
  <c r="B166" i="25"/>
  <c r="C166" i="25" l="1"/>
  <c r="D166" i="25"/>
  <c r="B167" i="25"/>
  <c r="C167" i="25" l="1"/>
  <c r="D167" i="25"/>
  <c r="B168" i="25"/>
  <c r="C168" i="25" l="1"/>
  <c r="D168" i="25"/>
  <c r="B169" i="25"/>
  <c r="C169" i="25" l="1"/>
  <c r="D169" i="25"/>
  <c r="B170" i="25"/>
  <c r="C170" i="25" l="1"/>
  <c r="D170" i="25"/>
  <c r="B171" i="25"/>
  <c r="C171" i="25" l="1"/>
  <c r="D171" i="25"/>
  <c r="B172" i="25"/>
  <c r="C172" i="25" l="1"/>
  <c r="D172" i="25"/>
  <c r="B173" i="25"/>
  <c r="B174" i="25" l="1"/>
  <c r="C173" i="25"/>
  <c r="D173" i="25"/>
  <c r="C174" i="25" l="1"/>
  <c r="B175" i="25"/>
  <c r="D174" i="25"/>
  <c r="C175" i="25" l="1"/>
  <c r="B176" i="25"/>
  <c r="D175" i="25"/>
  <c r="C176" i="25" l="1"/>
  <c r="B177" i="25"/>
  <c r="D176" i="25"/>
  <c r="C177" i="25" l="1"/>
  <c r="B178" i="25"/>
  <c r="D177" i="25"/>
  <c r="C178" i="25" l="1"/>
  <c r="B179" i="25"/>
  <c r="D178" i="25"/>
  <c r="C179" i="25" l="1"/>
  <c r="B180" i="25"/>
  <c r="D179" i="25"/>
  <c r="C180" i="25" l="1"/>
  <c r="B181" i="25"/>
  <c r="D180" i="25"/>
  <c r="C181" i="25" l="1"/>
  <c r="B182" i="25"/>
  <c r="D181" i="25"/>
  <c r="C182" i="25" l="1"/>
  <c r="B183" i="25"/>
  <c r="D182" i="25"/>
  <c r="C183" i="25" l="1"/>
  <c r="B184" i="25"/>
  <c r="D183" i="25"/>
  <c r="C184" i="25" l="1"/>
  <c r="B185" i="25"/>
  <c r="D184" i="25"/>
  <c r="C185" i="25" l="1"/>
  <c r="B186" i="25"/>
  <c r="D185" i="25"/>
  <c r="C186" i="25" l="1"/>
  <c r="B187" i="25"/>
  <c r="D186" i="25"/>
  <c r="C187" i="25" l="1"/>
  <c r="B188" i="25"/>
  <c r="D187" i="25"/>
  <c r="C188" i="25" l="1"/>
  <c r="B189" i="25"/>
  <c r="D188" i="25"/>
  <c r="C189" i="25" l="1"/>
  <c r="B190" i="25"/>
  <c r="D189" i="25"/>
  <c r="C190" i="25" l="1"/>
  <c r="B191" i="25"/>
  <c r="D190" i="25"/>
  <c r="C191" i="25" l="1"/>
  <c r="B192" i="25"/>
  <c r="D191" i="25"/>
  <c r="C192" i="25" l="1"/>
  <c r="B193" i="25"/>
  <c r="D192" i="25"/>
  <c r="C193" i="25" l="1"/>
  <c r="B194" i="25"/>
  <c r="D193" i="25"/>
  <c r="C194" i="25" l="1"/>
  <c r="B195" i="25"/>
  <c r="D194" i="25"/>
  <c r="C195" i="25" l="1"/>
  <c r="B196" i="25"/>
  <c r="D195" i="25"/>
  <c r="C196" i="25" l="1"/>
  <c r="B197" i="25"/>
  <c r="D196" i="25"/>
  <c r="C197" i="25" l="1"/>
  <c r="B198" i="25"/>
  <c r="D197" i="25"/>
  <c r="C198" i="25" l="1"/>
  <c r="B199" i="25"/>
  <c r="D198" i="25"/>
  <c r="C199" i="25" l="1"/>
  <c r="B200" i="25"/>
  <c r="D199" i="25"/>
  <c r="C200" i="25" l="1"/>
  <c r="B201" i="25"/>
  <c r="D200" i="25"/>
  <c r="C201" i="25" l="1"/>
  <c r="B202" i="25"/>
  <c r="D201" i="25"/>
  <c r="C202" i="25" l="1"/>
  <c r="B203" i="25"/>
  <c r="D202" i="25"/>
  <c r="C203" i="25" l="1"/>
  <c r="B204" i="25"/>
  <c r="D203" i="25"/>
  <c r="C204" i="25" l="1"/>
  <c r="B205" i="25"/>
  <c r="D204" i="25"/>
  <c r="C205" i="25" l="1"/>
  <c r="B206" i="25"/>
  <c r="D205" i="25"/>
  <c r="C206" i="25" l="1"/>
  <c r="B207" i="25"/>
  <c r="D206" i="25"/>
  <c r="C207" i="25" l="1"/>
  <c r="B208" i="25"/>
  <c r="D207" i="25"/>
  <c r="C208" i="25" l="1"/>
  <c r="B209" i="25"/>
  <c r="D208" i="25"/>
  <c r="C209" i="25" l="1"/>
  <c r="B210" i="25"/>
  <c r="D209" i="25"/>
  <c r="C210" i="25" l="1"/>
  <c r="B211" i="25"/>
  <c r="D210" i="25"/>
  <c r="C211" i="25" l="1"/>
  <c r="B212" i="25"/>
  <c r="D211" i="25"/>
  <c r="C212" i="25" l="1"/>
  <c r="B213" i="25"/>
  <c r="D212" i="25"/>
  <c r="C213" i="25" l="1"/>
  <c r="B214" i="25"/>
  <c r="D213" i="25"/>
  <c r="C214" i="25" l="1"/>
  <c r="D214" i="25"/>
  <c r="C215" i="25" l="1"/>
  <c r="D215" i="25"/>
  <c r="F27" i="10" l="1"/>
</calcChain>
</file>

<file path=xl/sharedStrings.xml><?xml version="1.0" encoding="utf-8"?>
<sst xmlns="http://schemas.openxmlformats.org/spreadsheetml/2006/main" count="79" uniqueCount="53">
  <si>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</si>
  <si>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</si>
  <si>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</si>
  <si>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</si>
  <si>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</si>
  <si>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</si>
  <si>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</si>
  <si>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</si>
  <si>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</si>
  <si>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</si>
  <si>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</si>
  <si>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</si>
  <si>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</si>
  <si>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</si>
  <si>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</si>
  <si>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</si>
  <si>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</si>
  <si>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</si>
  <si>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</si>
  <si>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</si>
  <si>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</si>
  <si>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</si>
  <si>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</si>
  <si>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</si>
  <si>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</si>
  <si>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</si>
  <si>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</si>
  <si>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</si>
  <si>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</si>
  <si>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</si>
  <si>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</si>
  <si>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</si>
  <si>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</si>
  <si>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</si>
  <si>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</si>
  <si>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</si>
  <si>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</si>
  <si>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</si>
  <si>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</si>
  <si>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</si>
  <si>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BM (G0Q0)</t>
  </si>
  <si>
    <t>PF (G0L0)</t>
  </si>
  <si>
    <t>Co-variance matrix</t>
  </si>
  <si>
    <t>Correlation</t>
  </si>
  <si>
    <t>empirical</t>
  </si>
  <si>
    <t>Difference</t>
  </si>
  <si>
    <t>Tracking Error</t>
  </si>
  <si>
    <t>monthly (to annualise *SQRT(12))</t>
  </si>
  <si>
    <t>End points of the lines on the chart</t>
  </si>
  <si>
    <t>Freq</t>
  </si>
  <si>
    <t>How to construct scatter charts with TE, VAR, CVAR, PSF, ASF</t>
  </si>
  <si>
    <t>=NORM.DIST(XLOOKUP(MAX(K6:K19),K6:K19,H6:H19),$B$6,$B$7,0) * the formula to the right should be an XLOOKUP, but because this doesn’t work on everyone's computer, we're using VLOOKUP here</t>
  </si>
  <si>
    <t>Monthly returns,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</si>
</sst>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0"/>
    <numFmt numFmtId="167" formatCode="0.00000"/>
    <numFmt numFmtId="168" formatCode="mmm\-yyyy"/>
  </numFmts>
  <fonts count="1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
      <sz val="11"/>
      <color theme="0" tint="-0.249977111117893"/>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9">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3" fillId="2" borderId="0" xfId="0" applyFont="1" applyFill="1"/>
    <xf numFmtId="0" fontId="8" fillId="8" borderId="0" xfId="0" applyFon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7" fillId="2" borderId="0" xfId="0" quotePrefix="1" applyFont="1" applyFill="1"/>
    <xf numFmtId="0" fontId="11" fillId="2" borderId="0" xfId="0" applyFont="1" applyFill="1"/>
    <xf numFmtId="9" fontId="0" fillId="2" borderId="1" xfId="1" applyFont="1" applyFill="1" applyBorder="1" applyAlignment="1">
      <alignment vertical="center"/>
    </xf>
    <xf numFmtId="0" fontId="10" fillId="2" borderId="0" xfId="0" applyFont="1" applyFill="1" applyAlignment="1">
      <alignment horizontal="right"/>
    </xf>
    <xf numFmtId="164" fontId="10" fillId="2" borderId="0" xfId="0" applyNumberFormat="1" applyFont="1" applyFill="1" applyAlignment="1">
      <alignment horizontal="left"/>
    </xf>
    <xf numFmtId="0" fontId="0" fillId="2" borderId="0" xfId="0" applyFill="1" applyAlignment="1">
      <alignment horizontal="right"/>
    </xf>
    <xf numFmtId="2" fontId="0" fillId="2" borderId="0" xfId="0" applyNumberFormat="1" applyFill="1"/>
    <xf numFmtId="167" fontId="0" fillId="2" borderId="0" xfId="0" applyNumberFormat="1" applyFill="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'1'!$C$10</c:f>
              <c:strCache>
                <c:ptCount val="1"/>
                <c:pt idx="0">
                  <c:v>Asset A</c:v>
                </c:pt>
              </c:strCache>
            </c:strRef>
          </c:tx>
          <c:spPr>
            <a:ln w="19050" cap="rnd">
              <a:solidFill>
                <a:srgbClr val="548BE9"/>
              </a:solidFill>
              <a:round/>
            </a:ln>
            <a:effectLst/>
          </c:spPr>
          <c:marker>
            <c:symbol val="none"/>
          </c:marker>
          <c:xVal>
            <c:numRef>
              <c:f>'1'!$B$11:$B$211</c:f>
              <c:numCache>
                <c:formatCode>0.000</c:formatCode>
                <c:ptCount val="201"/>
              </c:numCache>
            </c:numRef>
          </c:xVal>
          <c:yVal>
            <c:numRef>
              <c:f>'1'!$C$11:$C$211</c:f>
              <c:numCache>
                <c:formatCode>0.00</c:formatCode>
                <c:ptCount val="201"/>
              </c:numCache>
            </c:numRef>
          </c:yVal>
          <c:smooth val="0"/>
          <c:extLst>
            <c:ext xmlns:c16="http://schemas.microsoft.com/office/drawing/2014/chart" uri="{C3380CC4-5D6E-409C-BE32-E72D297353CC}">
              <c16:uniqueId val="{00000000-B253-4B0D-9427-A51932E29966}"/>
            </c:ext>
          </c:extLst>
        </c:ser>
        <c:ser>
          <c:idx val="1"/>
          <c:order val="1"/>
          <c:tx>
            <c:strRef>
              <c:f>'1'!$D$10</c:f>
              <c:strCache>
                <c:ptCount val="1"/>
                <c:pt idx="0">
                  <c:v>Asset B</c:v>
                </c:pt>
              </c:strCache>
            </c:strRef>
          </c:tx>
          <c:spPr>
            <a:ln w="19050" cap="rnd">
              <a:solidFill>
                <a:srgbClr val="E6BE8A"/>
              </a:solidFill>
              <a:round/>
            </a:ln>
            <a:effectLst/>
          </c:spPr>
          <c:marker>
            <c:symbol val="none"/>
          </c:marker>
          <c:xVal>
            <c:numRef>
              <c:f>'1'!$B$11:$B$211</c:f>
              <c:numCache>
                <c:formatCode>0.000</c:formatCode>
                <c:ptCount val="201"/>
              </c:numCache>
            </c:numRef>
          </c:xVal>
          <c:yVal>
            <c:numRef>
              <c:f>'1'!$D$11:$D$211</c:f>
              <c:numCache>
                <c:formatCode>0.00</c:formatCode>
                <c:ptCount val="201"/>
              </c:numCache>
            </c:numRef>
          </c:yVal>
          <c:smooth val="0"/>
          <c:extLst>
            <c:ext xmlns:c16="http://schemas.microsoft.com/office/drawing/2014/chart" uri="{C3380CC4-5D6E-409C-BE32-E72D297353CC}">
              <c16:uniqueId val="{00000001-B253-4B0D-9427-A51932E29966}"/>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253-4B0D-9427-A51932E29966}"/>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253-4B0D-9427-A51932E29966}"/>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253-4B0D-9427-A51932E29966}"/>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'1'!$F$11:$F$27</c:f>
              <c:numCache>
                <c:formatCode>General</c:formatCode>
                <c:ptCount val="17"/>
                <c:pt idx="0">
                  <c:v>0</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0</c:v>
                </c:pt>
              </c:numCache>
            </c:numRef>
          </c:xVal>
          <c:yVal>
            <c:numRef>
              <c:f>'1'!$G$11:$G$27</c:f>
              <c:numCache>
                <c:formatCode>General</c:formatCode>
                <c:ptCount val="17"/>
                <c:pt idx="0">
                  <c:v>0</c:v>
                </c:pt>
                <c:pt idx="1">
                  <c:v>0</c:v>
                </c:pt>
                <c:pt idx="2">
                  <c:v>4.7533022625005285E-2</c:v>
                </c:pt>
                <c:pt idx="3">
                  <c:v>0</c:v>
                </c:pt>
                <c:pt idx="4">
                  <c:v>0</c:v>
                </c:pt>
                <c:pt idx="5">
                  <c:v>0.10313564037537132</c:v>
                </c:pt>
                <c:pt idx="6">
                  <c:v>0</c:v>
                </c:pt>
                <c:pt idx="7">
                  <c:v>0</c:v>
                </c:pt>
                <c:pt idx="8">
                  <c:v>0.24197072451914337</c:v>
                </c:pt>
                <c:pt idx="9">
                  <c:v>0</c:v>
                </c:pt>
                <c:pt idx="10">
                  <c:v>0</c:v>
                </c:pt>
                <c:pt idx="11">
                  <c:v>0.3989422804014327</c:v>
                </c:pt>
                <c:pt idx="12">
                  <c:v>0</c:v>
                </c:pt>
                <c:pt idx="13">
                  <c:v>0</c:v>
                </c:pt>
                <c:pt idx="14">
                  <c:v>0.24197072451914337</c:v>
                </c:pt>
                <c:pt idx="15">
                  <c:v>0</c:v>
                </c:pt>
                <c:pt idx="16">
                  <c:v>0</c:v>
                </c:pt>
              </c:numCache>
            </c:numRef>
          </c:yVal>
          <c:smooth val="0"/>
          <c:extLst>
            <c:ext xmlns:c16="http://schemas.microsoft.com/office/drawing/2014/chart" uri="{C3380CC4-5D6E-409C-BE32-E72D297353CC}">
              <c16:uniqueId val="{00000007-B253-4B0D-9427-A51932E29966}"/>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B253-4B0D-9427-A51932E29966}"/>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253-4B0D-9427-A51932E29966}"/>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253-4B0D-9427-A51932E29966}"/>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'1'!$I$11:$I$27</c:f>
              <c:numCache>
                <c:formatCode>General</c:formatCode>
                <c:ptCount val="17"/>
                <c:pt idx="0" formatCode="0.00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'1'!$J$11:$J$27</c:f>
              <c:numCache>
                <c:formatCode>General</c:formatCode>
                <c:ptCount val="17"/>
                <c:pt idx="0">
                  <c:v>0</c:v>
                </c:pt>
                <c:pt idx="1">
                  <c:v>0</c:v>
                </c:pt>
                <c:pt idx="2">
                  <c:v>2.3766511312502642E-2</c:v>
                </c:pt>
                <c:pt idx="3">
                  <c:v>0</c:v>
                </c:pt>
                <c:pt idx="4">
                  <c:v>0</c:v>
                </c:pt>
                <c:pt idx="5">
                  <c:v>5.1567820187685659E-2</c:v>
                </c:pt>
                <c:pt idx="6">
                  <c:v>0</c:v>
                </c:pt>
                <c:pt idx="7">
                  <c:v>0</c:v>
                </c:pt>
                <c:pt idx="8">
                  <c:v>0.12098536225957168</c:v>
                </c:pt>
                <c:pt idx="9">
                  <c:v>0</c:v>
                </c:pt>
                <c:pt idx="10">
                  <c:v>0</c:v>
                </c:pt>
                <c:pt idx="11">
                  <c:v>0.19947114020071635</c:v>
                </c:pt>
                <c:pt idx="12">
                  <c:v>0</c:v>
                </c:pt>
                <c:pt idx="13">
                  <c:v>0</c:v>
                </c:pt>
                <c:pt idx="14">
                  <c:v>0.12098536225957168</c:v>
                </c:pt>
                <c:pt idx="15">
                  <c:v>0</c:v>
                </c:pt>
                <c:pt idx="16">
                  <c:v>0</c:v>
                </c:pt>
              </c:numCache>
            </c:numRef>
          </c:yVal>
          <c:smooth val="0"/>
          <c:extLst>
            <c:ext xmlns:c16="http://schemas.microsoft.com/office/drawing/2014/chart" uri="{C3380CC4-5D6E-409C-BE32-E72D297353CC}">
              <c16:uniqueId val="{0000000D-B253-4B0D-9427-A51932E29966}"/>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'2'!$C$14</c:f>
              <c:strCache>
                <c:ptCount val="1"/>
                <c:pt idx="0">
                  <c:v>Asset A</c:v>
                </c:pt>
              </c:strCache>
            </c:strRef>
          </c:tx>
          <c:spPr>
            <a:ln w="12700" cap="rnd">
              <a:solidFill>
                <a:srgbClr val="548BE9"/>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C399-427C-9CE9-0B67DF155AAB}"/>
            </c:ext>
          </c:extLst>
        </c:ser>
        <c:ser>
          <c:idx val="1"/>
          <c:order val="1"/>
          <c:tx>
            <c:strRef>
              <c:f>'2'!$D$14</c:f>
              <c:strCache>
                <c:ptCount val="1"/>
                <c:pt idx="0">
                  <c:v>Asset B</c:v>
                </c:pt>
              </c:strCache>
            </c:strRef>
          </c:tx>
          <c:spPr>
            <a:ln w="12700" cap="rnd">
              <a:solidFill>
                <a:srgbClr val="E6BE8A"/>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C399-427C-9CE9-0B67DF155AAB}"/>
            </c:ext>
          </c:extLst>
        </c:ser>
        <c:ser>
          <c:idx val="2"/>
          <c:order val="2"/>
          <c:tx>
            <c:strRef>
              <c:f>'2'!$E$14</c:f>
              <c:strCache>
                <c:ptCount val="1"/>
                <c:pt idx="0">
                  <c:v>Portfolio</c:v>
                </c:pt>
              </c:strCache>
            </c:strRef>
          </c:tx>
          <c:spPr>
            <a:ln w="19050" cap="rnd">
              <a:solidFill>
                <a:srgbClr val="707070"/>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'2'!$E$15:$E$215</c:f>
              <c:numCache>
                <c:formatCode>0.0000</c:formatCode>
                <c:ptCount val="201"/>
              </c:numCache>
            </c:numRef>
          </c:yVal>
          <c:smooth val="0"/>
          <c:extLst>
            <c:ext xmlns:c16="http://schemas.microsoft.com/office/drawing/2014/chart" uri="{C3380CC4-5D6E-409C-BE32-E72D297353CC}">
              <c16:uniqueId val="{00000002-C399-427C-9CE9-0B67DF155AAB}"/>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'3'!$H$6:$H$19</c:f>
              <c:numCache>
                <c:formatCode>General</c:formatCode>
                <c:ptCount val="14"/>
              </c:numCache>
            </c:numRef>
          </c:cat>
          <c:val>
            <c:numRef>
              <c:f>'3'!$I$6:$I$19</c:f>
              <c:numCache>
                <c:formatCode>General</c:formatCode>
                <c:ptCount val="14"/>
              </c:numCache>
            </c:numRef>
          </c:val>
          <c:extLst>
            <c:ext xmlns:c16="http://schemas.microsoft.com/office/drawing/2014/chart" uri="{C3380CC4-5D6E-409C-BE32-E72D297353CC}">
              <c16:uniqueId val="{00000000-B063-4841-9561-EF6D87878AA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'3'!$H$6:$H$19</c:f>
              <c:numCache>
                <c:formatCode>General</c:formatCode>
                <c:ptCount val="14"/>
              </c:numCache>
            </c:numRef>
          </c:cat>
          <c:val>
            <c:numRef>
              <c:f>'3'!$J$6:$J$19</c:f>
              <c:numCache>
                <c:formatCode>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1"/>
          <c:extLst>
            <c:ext xmlns:c16="http://schemas.microsoft.com/office/drawing/2014/chart" uri="{C3380CC4-5D6E-409C-BE32-E72D297353CC}">
              <c16:uniqueId val="{00000001-B063-4841-9561-EF6D87878AA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0"/>
          <c:order val="0"/>
          <c:spPr>
            <a:ln w="19050" cap="rnd">
              <a:noFill/>
              <a:round/>
            </a:ln>
            <a:effectLst/>
          </c:spPr>
          <c:marker>
            <c:symbol val="circle"/>
            <c:size val="5"/>
            <c:spPr>
              <a:solidFill>
                <a:srgbClr val="548BE9"/>
              </a:solidFill>
              <a:ln w="9525">
                <a:solidFill>
                  <a:srgbClr val="548BE9"/>
                </a:solidFill>
              </a:ln>
              <a:effectLst/>
            </c:spPr>
          </c:marker>
          <c:xVal>
            <c:numRef>
              <c:f>'4'!$D$10:$D$249</c:f>
              <c:numCache>
                <c:formatCode>0.000</c:formatCode>
                <c:ptCount val="240"/>
              </c:numCache>
            </c:numRef>
          </c:xVal>
          <c:yVal>
            <c:numRef>
              <c:f>'4'!$E$10:$E$249</c:f>
              <c:numCache>
                <c:formatCode>0.000</c:formatCode>
                <c:ptCount val="240"/>
              </c:numCache>
            </c:numRef>
          </c:yVal>
          <c:smooth val="0"/>
          <c:extLst>
            <c:ext xmlns:c16="http://schemas.microsoft.com/office/drawing/2014/chart" uri="{C3380CC4-5D6E-409C-BE32-E72D297353CC}">
              <c16:uniqueId val="{00000000-2BA7-4002-A17D-67DABC86821B}"/>
            </c:ext>
          </c:extLst>
        </c:ser>
        <c:ser>
          <c:idx val="1"/>
          <c:order val="1"/>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2BA7-4002-A17D-67DABC86821B}"/>
              </c:ext>
            </c:extLst>
          </c:dPt>
          <c:xVal>
            <c:numRef>
              <c:f>'4'!$I$18:$I$19</c:f>
              <c:numCache>
                <c:formatCode>0</c:formatCode>
                <c:ptCount val="2"/>
                <c:pt idx="0" formatCode="General">
                  <c:v>0</c:v>
                </c:pt>
                <c:pt idx="1">
                  <c:v>0</c:v>
                </c:pt>
              </c:numCache>
            </c:numRef>
          </c:xVal>
          <c:yVal>
            <c:numRef>
              <c:f>'4'!$J$18:$J$19</c:f>
              <c:numCache>
                <c:formatCode>0</c:formatCode>
                <c:ptCount val="2"/>
                <c:pt idx="0" formatCode="General">
                  <c:v>0</c:v>
                </c:pt>
                <c:pt idx="1">
                  <c:v>0</c:v>
                </c:pt>
              </c:numCache>
            </c:numRef>
          </c:yVal>
          <c:smooth val="0"/>
          <c:extLst>
            <c:ext xmlns:c16="http://schemas.microsoft.com/office/drawing/2014/chart" uri="{C3380CC4-5D6E-409C-BE32-E72D297353CC}">
              <c16:uniqueId val="{00000003-2BA7-4002-A17D-67DABC86821B}"/>
            </c:ext>
          </c:extLst>
        </c:ser>
        <c:ser>
          <c:idx val="3"/>
          <c:order val="2"/>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2BA7-4002-A17D-67DABC86821B}"/>
              </c:ext>
            </c:extLst>
          </c:dPt>
          <c:xVal>
            <c:numRef>
              <c:f>'4'!$I$18:$I$19</c:f>
              <c:numCache>
                <c:formatCode>0</c:formatCode>
                <c:ptCount val="2"/>
                <c:pt idx="0" formatCode="General">
                  <c:v>0</c:v>
                </c:pt>
                <c:pt idx="1">
                  <c:v>0</c:v>
                </c:pt>
              </c:numCache>
            </c:numRef>
          </c:xVal>
          <c:yVal>
            <c:numRef>
              <c:f>'4'!$L$18:$L$19</c:f>
              <c:numCache>
                <c:formatCode>0.000</c:formatCode>
                <c:ptCount val="2"/>
                <c:pt idx="0">
                  <c:v>0</c:v>
                </c:pt>
                <c:pt idx="1">
                  <c:v>0</c:v>
                </c:pt>
              </c:numCache>
            </c:numRef>
          </c:yVal>
          <c:smooth val="0"/>
          <c:extLst>
            <c:ext xmlns:c16="http://schemas.microsoft.com/office/drawing/2014/chart" uri="{C3380CC4-5D6E-409C-BE32-E72D297353CC}">
              <c16:uniqueId val="{00000006-2BA7-4002-A17D-67DABC86821B}"/>
            </c:ext>
          </c:extLst>
        </c:ser>
        <c:ser>
          <c:idx val="2"/>
          <c:order val="3"/>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2BA7-4002-A17D-67DABC86821B}"/>
              </c:ext>
            </c:extLst>
          </c:dPt>
          <c:xVal>
            <c:numRef>
              <c:f>'4'!$I$18:$I$19</c:f>
              <c:numCache>
                <c:formatCode>0</c:formatCode>
                <c:ptCount val="2"/>
                <c:pt idx="0" formatCode="General">
                  <c:v>0</c:v>
                </c:pt>
                <c:pt idx="1">
                  <c:v>0</c:v>
                </c:pt>
              </c:numCache>
            </c:numRef>
          </c:xVal>
          <c:yVal>
            <c:numRef>
              <c:f>'4'!$M$18:$M$19</c:f>
              <c:numCache>
                <c:formatCode>0.000</c:formatCode>
                <c:ptCount val="2"/>
                <c:pt idx="0">
                  <c:v>0</c:v>
                </c:pt>
                <c:pt idx="1">
                  <c:v>0</c:v>
                </c:pt>
              </c:numCache>
            </c:numRef>
          </c:yVal>
          <c:smooth val="0"/>
          <c:extLst>
            <c:ext xmlns:c16="http://schemas.microsoft.com/office/drawing/2014/chart" uri="{C3380CC4-5D6E-409C-BE32-E72D297353CC}">
              <c16:uniqueId val="{00000009-2BA7-4002-A17D-67DABC86821B}"/>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220617</xdr:colOff>
      <xdr:row>8</xdr:row>
      <xdr:rowOff>116112</xdr:rowOff>
    </xdr:from>
    <xdr:to>
      <xdr:col>14</xdr:col>
      <xdr:colOff>447947</xdr:colOff>
      <xdr:row>27</xdr:row>
      <xdr:rowOff>16328</xdr:rowOff>
    </xdr:to>
    <xdr:graphicFrame macro="">
      <xdr:nvGraphicFramePr>
        <xdr:cNvPr id="2" name="Chart 1">
          <a:extLst>
            <a:ext uri="{FF2B5EF4-FFF2-40B4-BE49-F238E27FC236}">
              <a16:creationId xmlns:a16="http://schemas.microsoft.com/office/drawing/2014/main" id="{7AACDA51-68A5-47AA-8D1B-6732AAB5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76909D57-7A59-481B-8B7C-F9E28F2C1E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67450" y="485775"/>
          <a:ext cx="2565457"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A550EE38-6E86-432B-B7E3-791C52F2F0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01125" y="447675"/>
          <a:ext cx="542823" cy="50482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9E1A26AD-B5D7-41F9-AA7F-07227BA94488}"/>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125131</xdr:colOff>
      <xdr:row>11</xdr:row>
      <xdr:rowOff>51919</xdr:rowOff>
    </xdr:from>
    <xdr:to>
      <xdr:col>15</xdr:col>
      <xdr:colOff>421154</xdr:colOff>
      <xdr:row>27</xdr:row>
      <xdr:rowOff>64619</xdr:rowOff>
    </xdr:to>
    <xdr:graphicFrame macro="">
      <xdr:nvGraphicFramePr>
        <xdr:cNvPr id="2" name="Chart 1">
          <a:extLst>
            <a:ext uri="{FF2B5EF4-FFF2-40B4-BE49-F238E27FC236}">
              <a16:creationId xmlns:a16="http://schemas.microsoft.com/office/drawing/2014/main" id="{4F86B5FC-79CB-4669-A78A-541C3786EC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7845</xdr:colOff>
      <xdr:row>1</xdr:row>
      <xdr:rowOff>152027</xdr:rowOff>
    </xdr:from>
    <xdr:to>
      <xdr:col>13</xdr:col>
      <xdr:colOff>518518</xdr:colOff>
      <xdr:row>5</xdr:row>
      <xdr:rowOff>139925</xdr:rowOff>
    </xdr:to>
    <xdr:pic>
      <xdr:nvPicPr>
        <xdr:cNvPr id="4" name="Picture 3">
          <a:extLst>
            <a:ext uri="{FF2B5EF4-FFF2-40B4-BE49-F238E27FC236}">
              <a16:creationId xmlns:a16="http://schemas.microsoft.com/office/drawing/2014/main" id="{F8BE8EA4-A086-4EDB-9F05-E805ED81BD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03770" y="485402"/>
          <a:ext cx="3415798" cy="74989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5" name="Picture 4">
          <a:extLst>
            <a:ext uri="{FF2B5EF4-FFF2-40B4-BE49-F238E27FC236}">
              <a16:creationId xmlns:a16="http://schemas.microsoft.com/office/drawing/2014/main" id="{D16B4835-E5F7-4A3A-8166-C05D9BAB5C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6" name="Slide1" hidden="1">
          <a:extLst>
            <a:ext uri="{FF2B5EF4-FFF2-40B4-BE49-F238E27FC236}">
              <a16:creationId xmlns:a16="http://schemas.microsoft.com/office/drawing/2014/main" id="{6E841939-5753-4F62-BC08-1683872B3229}"/>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twoCellAnchor>
    <xdr:from>
      <xdr:col>5</xdr:col>
      <xdr:colOff>352425</xdr:colOff>
      <xdr:row>6</xdr:row>
      <xdr:rowOff>152400</xdr:rowOff>
    </xdr:from>
    <xdr:to>
      <xdr:col>9</xdr:col>
      <xdr:colOff>47625</xdr:colOff>
      <xdr:row>15</xdr:row>
      <xdr:rowOff>0</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mn-lt"/>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mn-lt"/>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mn-lt"/>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26A485B0-5E5E-4298-ACFF-15A12D9C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6" name="Picture 5">
          <a:extLst>
            <a:ext uri="{FF2B5EF4-FFF2-40B4-BE49-F238E27FC236}">
              <a16:creationId xmlns:a16="http://schemas.microsoft.com/office/drawing/2014/main" id="{75BCA1CC-E34D-4CE1-8595-F3BD971D2D6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7" name="Picture 6">
          <a:extLst>
            <a:ext uri="{FF2B5EF4-FFF2-40B4-BE49-F238E27FC236}">
              <a16:creationId xmlns:a16="http://schemas.microsoft.com/office/drawing/2014/main" id="{95F9832D-284A-4A2E-85BA-F6ECB8929D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5" name="Slide1" hidden="1">
          <a:extLst>
            <a:ext uri="{FF2B5EF4-FFF2-40B4-BE49-F238E27FC236}">
              <a16:creationId xmlns:a16="http://schemas.microsoft.com/office/drawing/2014/main" id="{5A138236-1E24-4874-82EF-D4AA4E32639E}"/>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4" name="Chart 3">
          <a:extLst>
            <a:ext uri="{FF2B5EF4-FFF2-40B4-BE49-F238E27FC236}">
              <a16:creationId xmlns:a16="http://schemas.microsoft.com/office/drawing/2014/main" id="{2B196E72-52C3-4A83-BB68-7DA5029B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5" name="Picture 4">
          <a:extLst>
            <a:ext uri="{FF2B5EF4-FFF2-40B4-BE49-F238E27FC236}">
              <a16:creationId xmlns:a16="http://schemas.microsoft.com/office/drawing/2014/main" id="{CC1CFF44-AE55-4C72-AF95-FBEF510C43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34660" y="434229"/>
          <a:ext cx="2666440" cy="573254"/>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6" name="Picture 5">
          <a:extLst>
            <a:ext uri="{FF2B5EF4-FFF2-40B4-BE49-F238E27FC236}">
              <a16:creationId xmlns:a16="http://schemas.microsoft.com/office/drawing/2014/main" id="{0384BFB7-999B-42FD-A2EF-FDE62A7F09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96909" y="412377"/>
          <a:ext cx="547306" cy="504825"/>
        </a:xfrm>
        <a:prstGeom prst="rect">
          <a:avLst/>
        </a:prstGeom>
      </xdr:spPr>
    </xdr:pic>
    <xdr:clientData/>
  </xdr:twoCellAnchor>
  <xdr:twoCellAnchor editAs="oneCell">
    <xdr:from>
      <xdr:col>0</xdr:col>
      <xdr:colOff>47625</xdr:colOff>
      <xdr:row>4</xdr:row>
      <xdr:rowOff>77507</xdr:rowOff>
    </xdr:from>
    <xdr:to>
      <xdr:col>13</xdr:col>
      <xdr:colOff>19490</xdr:colOff>
      <xdr:row>36</xdr:row>
      <xdr:rowOff>98332</xdr:rowOff>
    </xdr:to>
    <xdr:pic>
      <xdr:nvPicPr>
        <xdr:cNvPr id="7" name="Slide1" hidden="1">
          <a:extLst>
            <a:ext uri="{FF2B5EF4-FFF2-40B4-BE49-F238E27FC236}">
              <a16:creationId xmlns:a16="http://schemas.microsoft.com/office/drawing/2014/main" id="{D9A11C7A-6019-4EFD-9A15-ED9B5B342848}"/>
            </a:ext>
          </a:extLst>
        </xdr:cNvPr>
        <xdr:cNvPicPr>
          <a:picLocks noChangeAspect="1"/>
        </xdr:cNvPicPr>
      </xdr:nvPicPr>
      <xdr:blipFill>
        <a:blip xmlns:r="http://schemas.openxmlformats.org/officeDocument/2006/relationships" r:embed="rId4"/>
        <a:stretch>
          <a:fillRect/>
        </a:stretch>
      </xdr:blipFill>
      <xdr:spPr>
        <a:xfrm>
          <a:off x="47625" y="982382"/>
          <a:ext cx="8915840" cy="61168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C17" sqref="C17"/>
    </sheetView>
  </sheetViews>
  <sheetFormatPr defaultColWidth="8.6328125" defaultRowHeight="14.5" x14ac:dyDescent="0.35"/>
  <cols>
    <col min="1" max="16384" width="8.63281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2A22-12E8-44CC-9F72-957BF5DC8835}">
  <sheetPr codeName="Sheet10"/>
  <dimension ref="A1:P211"/>
  <sheetViews>
    <sheetView zoomScale="70" zoomScaleNormal="70" workbookViewId="0">
      <selection activeCell="A10" sqref="A10"/>
    </sheetView>
  </sheetViews>
  <sheetFormatPr defaultColWidth="8.6328125" defaultRowHeight="14.5" x14ac:dyDescent="0.35"/>
  <cols>
    <col min="1" max="1" width="8.6328125" style="2"/>
    <col min="2" max="4" width="10.6328125" style="2" customWidth="1"/>
    <col min="5" max="16384" width="8.6328125" style="2"/>
  </cols>
  <sheetData>
    <row r="1" spans="1:16" s="37" customFormat="1" ht="26" x14ac:dyDescent="0.6">
      <c r="A1" s="37" t="s">
        <v>36</v>
      </c>
    </row>
    <row r="2" spans="1:16" s="1" customFormat="1" x14ac:dyDescent="0.35"/>
    <row r="3" spans="1:16" x14ac:dyDescent="0.35">
      <c r="P3" s="2">
        <v>0</v>
      </c>
    </row>
    <row r="4" spans="1:16" x14ac:dyDescent="0.35">
      <c r="B4" s="3" t="s">
        <v>1</v>
      </c>
      <c r="C4" s="8">
        <v>0</v>
      </c>
      <c r="D4" s="8">
        <v>1</v>
      </c>
    </row>
    <row r="5" spans="1:16" x14ac:dyDescent="0.35">
      <c r="B5" s="3" t="s">
        <v>2</v>
      </c>
      <c r="C5" s="8">
        <v>1</v>
      </c>
      <c r="D5" s="8">
        <v>2</v>
      </c>
      <c r="F5" s="4"/>
    </row>
    <row r="6" spans="1:16" x14ac:dyDescent="0.35">
      <c r="B6" s="3" t="s">
        <v>3</v>
      </c>
      <c r="C6" s="9">
        <f>_xlfn.NORM.INV(VaR_Threshold/100,muA,sigmaA)</f>
        <v>-1.6448536269514726</v>
      </c>
      <c r="D6" s="9">
        <f>_xlfn.NORM.INV(VaR_Threshold/100,muB,sigmaB)</f>
        <v>-2.2897072539029453</v>
      </c>
      <c r="F6" s="4"/>
    </row>
    <row r="7" spans="1:16" x14ac:dyDescent="0.35">
      <c r="B7" s="3" t="s">
        <v>4</v>
      </c>
      <c r="C7" s="9">
        <f>muA-sigmaA*(100/VaR_Threshold)*(1/SQRT(2*PI())*EXP(-0.5*NORMSINV(VaR_Threshold/100)^2))</f>
        <v>-2.0627128075074266</v>
      </c>
      <c r="D7" s="9">
        <f>muB-sigmaB*(100/VaR_Threshold)*(1/SQRT(2*PI())*EXP(-0.5*NORMSINV(VaR_Threshold/100)^2))</f>
        <v>-3.1254256150148532</v>
      </c>
    </row>
    <row r="8" spans="1:16" x14ac:dyDescent="0.35">
      <c r="B8" s="3" t="s">
        <v>0</v>
      </c>
      <c r="C8" s="10">
        <v>5</v>
      </c>
      <c r="D8" s="11"/>
    </row>
    <row r="10" spans="1:16" x14ac:dyDescent="0.35">
      <c r="A10" s="5">
        <f>ABS((B211-B11)/200)</f>
        <v>0</v>
      </c>
      <c r="B10" s="12" t="s">
        <v>5</v>
      </c>
      <c r="C10" s="12" t="s">
        <v>6</v>
      </c>
      <c r="D10" s="12" t="s">
        <v>7</v>
      </c>
      <c r="F10" s="3" t="s">
        <v>5</v>
      </c>
      <c r="G10" s="3" t="s">
        <v>8</v>
      </c>
      <c r="H10" s="3"/>
      <c r="I10" s="3" t="s">
        <v>5</v>
      </c>
      <c r="J10" s="3" t="s">
        <v>9</v>
      </c>
    </row>
    <row r="11" spans="1:16" x14ac:dyDescent="0.35">
      <c r="B11" s="14"/>
      <c r="C11" s="13"/>
      <c r="D11" s="13"/>
      <c r="F11" s="2">
        <f>B11</f>
        <v>0</v>
      </c>
      <c r="G11" s="2">
        <v>0</v>
      </c>
      <c r="I11" s="4">
        <f>B11</f>
        <v>0</v>
      </c>
      <c r="J11" s="2">
        <v>0</v>
      </c>
    </row>
    <row r="12" spans="1:16" x14ac:dyDescent="0.35">
      <c r="B12" s="14"/>
      <c r="C12" s="13"/>
      <c r="D12" s="13"/>
      <c r="F12" s="2">
        <f>CVaRA-0.00001</f>
        <v>-2.0627228075074266</v>
      </c>
      <c r="G12" s="2">
        <v>0</v>
      </c>
      <c r="I12" s="2">
        <f>CVaRB-0.00001</f>
        <v>-3.1254356150148532</v>
      </c>
      <c r="J12" s="2">
        <v>0</v>
      </c>
    </row>
    <row r="13" spans="1:16" x14ac:dyDescent="0.35">
      <c r="B13" s="14"/>
      <c r="C13" s="13"/>
      <c r="D13" s="13"/>
      <c r="F13" s="2">
        <f>CVaRA</f>
        <v>-2.0627128075074266</v>
      </c>
      <c r="G13" s="2">
        <f>_xlfn.NORM.DIST($F13,muA,sigmaA,FALSE)</f>
        <v>4.7533022625005285E-2</v>
      </c>
      <c r="I13" s="2">
        <f>CVaRB</f>
        <v>-3.1254256150148532</v>
      </c>
      <c r="J13" s="2">
        <f>_xlfn.NORM.DIST($I13,muB,sigmaB,FALSE)</f>
        <v>2.3766511312502642E-2</v>
      </c>
    </row>
    <row r="14" spans="1:16" x14ac:dyDescent="0.35">
      <c r="B14" s="14"/>
      <c r="C14" s="13"/>
      <c r="D14" s="13"/>
      <c r="F14" s="2">
        <f>CVaRA+0.00001</f>
        <v>-2.0627028075074265</v>
      </c>
      <c r="G14" s="2">
        <v>0</v>
      </c>
      <c r="I14" s="2">
        <f>CVaRB+0.00001</f>
        <v>-3.1254156150148531</v>
      </c>
      <c r="J14" s="2">
        <v>0</v>
      </c>
    </row>
    <row r="15" spans="1:16" x14ac:dyDescent="0.35">
      <c r="B15" s="14"/>
      <c r="C15" s="13"/>
      <c r="D15" s="13"/>
      <c r="F15" s="2">
        <f>VaRA-0.00001</f>
        <v>-1.6448636269514727</v>
      </c>
      <c r="G15" s="2">
        <v>0</v>
      </c>
      <c r="I15" s="2">
        <f>VaRB-0.00001</f>
        <v>-2.2897172539029453</v>
      </c>
      <c r="J15" s="2">
        <v>0</v>
      </c>
    </row>
    <row r="16" spans="1:16" x14ac:dyDescent="0.35">
      <c r="B16" s="14"/>
      <c r="C16" s="13"/>
      <c r="D16" s="13"/>
      <c r="F16" s="2">
        <f>VaRA</f>
        <v>-1.6448536269514726</v>
      </c>
      <c r="G16" s="2">
        <f>_xlfn.NORM.DIST($F16,muA,sigmaA,FALSE)</f>
        <v>0.10313564037537132</v>
      </c>
      <c r="I16" s="2">
        <f>VaRB</f>
        <v>-2.2897072539029453</v>
      </c>
      <c r="J16" s="2">
        <f>_xlfn.NORM.DIST($I16,muB,sigmaB,FALSE)</f>
        <v>5.1567820187685659E-2</v>
      </c>
    </row>
    <row r="17" spans="2:10" x14ac:dyDescent="0.35">
      <c r="B17" s="14"/>
      <c r="C17" s="13"/>
      <c r="D17" s="13"/>
      <c r="F17" s="2">
        <f>VaRA+0.00001</f>
        <v>-1.6448436269514726</v>
      </c>
      <c r="G17" s="2">
        <v>0</v>
      </c>
      <c r="I17" s="2">
        <f>VaRB+0.00001</f>
        <v>-2.2896972539029452</v>
      </c>
      <c r="J17" s="2">
        <v>0</v>
      </c>
    </row>
    <row r="18" spans="2:10" x14ac:dyDescent="0.35">
      <c r="B18" s="14"/>
      <c r="C18" s="13"/>
      <c r="D18" s="13"/>
      <c r="F18" s="2">
        <f>muA-sigmaA-0.00001</f>
        <v>-1.0000100000000001</v>
      </c>
      <c r="G18" s="2">
        <v>0</v>
      </c>
      <c r="I18" s="2">
        <f>muB-sigmaB-0.00001</f>
        <v>-1.0000100000000001</v>
      </c>
      <c r="J18" s="2">
        <v>0</v>
      </c>
    </row>
    <row r="19" spans="2:10" x14ac:dyDescent="0.35">
      <c r="B19" s="14"/>
      <c r="C19" s="13"/>
      <c r="D19" s="13"/>
      <c r="F19" s="2">
        <f>muA-sigmaA</f>
        <v>-1</v>
      </c>
      <c r="G19" s="2">
        <f>_xlfn.NORM.DIST($F19,muA,sigmaA,FALSE)</f>
        <v>0.24197072451914337</v>
      </c>
      <c r="I19" s="2">
        <f>muB-sigmaB</f>
        <v>-1</v>
      </c>
      <c r="J19" s="2">
        <f>_xlfn.NORM.DIST($I19,muB,sigmaB,FALSE)</f>
        <v>0.12098536225957168</v>
      </c>
    </row>
    <row r="20" spans="2:10" x14ac:dyDescent="0.35">
      <c r="B20" s="14"/>
      <c r="C20" s="13"/>
      <c r="D20" s="13"/>
      <c r="F20" s="2">
        <f>muA-sigmaA+0.00001</f>
        <v>-0.99999000000000005</v>
      </c>
      <c r="G20" s="2">
        <v>0</v>
      </c>
      <c r="I20" s="2">
        <f>muB-sigmaB+0.00001</f>
        <v>-0.99999000000000005</v>
      </c>
      <c r="J20" s="2">
        <v>0</v>
      </c>
    </row>
    <row r="21" spans="2:10" x14ac:dyDescent="0.35">
      <c r="B21" s="14"/>
      <c r="C21" s="13"/>
      <c r="D21" s="13"/>
      <c r="F21" s="2">
        <f>muA-0.00001</f>
        <v>-1.0000000000000001E-5</v>
      </c>
      <c r="G21" s="2">
        <v>0</v>
      </c>
      <c r="I21" s="2">
        <f>muB-0.00001</f>
        <v>0.99999000000000005</v>
      </c>
      <c r="J21" s="2">
        <v>0</v>
      </c>
    </row>
    <row r="22" spans="2:10" x14ac:dyDescent="0.35">
      <c r="B22" s="14"/>
      <c r="C22" s="13"/>
      <c r="D22" s="13"/>
      <c r="F22" s="2">
        <f>muA</f>
        <v>0</v>
      </c>
      <c r="G22" s="2">
        <f>_xlfn.NORM.DIST($F22,muA,sigmaA,FALSE)</f>
        <v>0.3989422804014327</v>
      </c>
      <c r="I22" s="2">
        <f>muB</f>
        <v>1</v>
      </c>
      <c r="J22" s="2">
        <f>_xlfn.NORM.DIST($I22,muB,sigmaB,FALSE)</f>
        <v>0.19947114020071635</v>
      </c>
    </row>
    <row r="23" spans="2:10" x14ac:dyDescent="0.35">
      <c r="B23" s="14"/>
      <c r="C23" s="13"/>
      <c r="D23" s="13"/>
      <c r="F23" s="2">
        <f>muA+0.00001</f>
        <v>1.0000000000000001E-5</v>
      </c>
      <c r="G23" s="2">
        <v>0</v>
      </c>
      <c r="I23" s="2">
        <f>muB+0.00001</f>
        <v>1.0000100000000001</v>
      </c>
      <c r="J23" s="2">
        <v>0</v>
      </c>
    </row>
    <row r="24" spans="2:10" x14ac:dyDescent="0.35">
      <c r="B24" s="14"/>
      <c r="C24" s="13"/>
      <c r="D24" s="13"/>
      <c r="F24" s="2">
        <f>muA+sigmaA-0.00001</f>
        <v>0.99999000000000005</v>
      </c>
      <c r="G24" s="2">
        <v>0</v>
      </c>
      <c r="I24" s="2">
        <f>muB+sigmaB-0.00001</f>
        <v>2.9999899999999999</v>
      </c>
      <c r="J24" s="2">
        <v>0</v>
      </c>
    </row>
    <row r="25" spans="2:10" x14ac:dyDescent="0.35">
      <c r="B25" s="14"/>
      <c r="C25" s="13"/>
      <c r="D25" s="13"/>
      <c r="F25" s="2">
        <f>muA+sigmaA</f>
        <v>1</v>
      </c>
      <c r="G25" s="2">
        <f>_xlfn.NORM.DIST($F25,muA,sigmaA,FALSE)</f>
        <v>0.24197072451914337</v>
      </c>
      <c r="I25" s="2">
        <f>muB+sigmaB</f>
        <v>3</v>
      </c>
      <c r="J25" s="2">
        <f>_xlfn.NORM.DIST($I25,muB,sigmaB,FALSE)</f>
        <v>0.12098536225957168</v>
      </c>
    </row>
    <row r="26" spans="2:10" x14ac:dyDescent="0.35">
      <c r="B26" s="14"/>
      <c r="C26" s="13"/>
      <c r="D26" s="13"/>
      <c r="F26" s="2">
        <f>muA+sigmaA+0.00001</f>
        <v>1.0000100000000001</v>
      </c>
      <c r="G26" s="2">
        <v>0</v>
      </c>
      <c r="I26" s="2">
        <f>muB+sigmaB+0.00001</f>
        <v>3.0000100000000001</v>
      </c>
      <c r="J26" s="2">
        <v>0</v>
      </c>
    </row>
    <row r="27" spans="2:10" x14ac:dyDescent="0.35">
      <c r="B27" s="14"/>
      <c r="C27" s="13"/>
      <c r="D27" s="13"/>
      <c r="F27" s="2">
        <f>B211</f>
        <v>0</v>
      </c>
      <c r="G27" s="2">
        <v>0</v>
      </c>
      <c r="I27" s="2">
        <f>E211</f>
        <v>0</v>
      </c>
      <c r="J27" s="2">
        <v>0</v>
      </c>
    </row>
    <row r="28" spans="2:10" x14ac:dyDescent="0.35">
      <c r="B28" s="14"/>
      <c r="C28" s="13"/>
      <c r="D28" s="13"/>
    </row>
    <row r="29" spans="2:10" x14ac:dyDescent="0.35">
      <c r="B29" s="14"/>
      <c r="C29" s="13"/>
      <c r="D29" s="13"/>
    </row>
    <row r="30" spans="2:10" x14ac:dyDescent="0.35">
      <c r="B30" s="14"/>
      <c r="C30" s="13"/>
      <c r="D30" s="13"/>
    </row>
    <row r="31" spans="2:10" x14ac:dyDescent="0.35">
      <c r="B31" s="14"/>
      <c r="C31" s="13"/>
      <c r="D31" s="13"/>
    </row>
    <row r="32" spans="2:10" x14ac:dyDescent="0.35">
      <c r="B32" s="14"/>
      <c r="C32" s="13"/>
      <c r="D32" s="13"/>
    </row>
    <row r="33" spans="2:4" x14ac:dyDescent="0.35">
      <c r="B33" s="14"/>
      <c r="C33" s="13"/>
      <c r="D33" s="13"/>
    </row>
    <row r="34" spans="2:4" x14ac:dyDescent="0.35">
      <c r="B34" s="14"/>
      <c r="C34" s="13"/>
      <c r="D34" s="13"/>
    </row>
    <row r="35" spans="2:4" x14ac:dyDescent="0.35">
      <c r="B35" s="14"/>
      <c r="C35" s="13"/>
      <c r="D35" s="13"/>
    </row>
    <row r="36" spans="2:4" x14ac:dyDescent="0.35">
      <c r="B36" s="14"/>
      <c r="C36" s="13"/>
      <c r="D36" s="13"/>
    </row>
    <row r="37" spans="2:4" x14ac:dyDescent="0.35">
      <c r="B37" s="14"/>
      <c r="C37" s="13"/>
      <c r="D37" s="13"/>
    </row>
    <row r="38" spans="2:4" x14ac:dyDescent="0.35">
      <c r="B38" s="14"/>
      <c r="C38" s="13"/>
      <c r="D38" s="13"/>
    </row>
    <row r="39" spans="2:4" x14ac:dyDescent="0.35">
      <c r="B39" s="14"/>
      <c r="C39" s="13"/>
      <c r="D39" s="13"/>
    </row>
    <row r="40" spans="2:4" x14ac:dyDescent="0.35">
      <c r="B40" s="14"/>
      <c r="C40" s="13"/>
      <c r="D40" s="13"/>
    </row>
    <row r="41" spans="2:4" x14ac:dyDescent="0.35">
      <c r="B41" s="14"/>
      <c r="C41" s="13"/>
      <c r="D41" s="13"/>
    </row>
    <row r="42" spans="2:4" x14ac:dyDescent="0.35">
      <c r="B42" s="14"/>
      <c r="C42" s="13"/>
      <c r="D42" s="13"/>
    </row>
    <row r="43" spans="2:4" x14ac:dyDescent="0.35">
      <c r="B43" s="14"/>
      <c r="C43" s="13"/>
      <c r="D43" s="13"/>
    </row>
    <row r="44" spans="2:4" x14ac:dyDescent="0.35">
      <c r="B44" s="14"/>
      <c r="C44" s="13"/>
      <c r="D44" s="13"/>
    </row>
    <row r="45" spans="2:4" x14ac:dyDescent="0.35">
      <c r="B45" s="14"/>
      <c r="C45" s="13"/>
      <c r="D45" s="13"/>
    </row>
    <row r="46" spans="2:4" x14ac:dyDescent="0.35">
      <c r="B46" s="14"/>
      <c r="C46" s="13"/>
      <c r="D46" s="13"/>
    </row>
    <row r="47" spans="2:4" x14ac:dyDescent="0.35">
      <c r="B47" s="14"/>
      <c r="C47" s="13"/>
      <c r="D47" s="13"/>
    </row>
    <row r="48" spans="2:4" x14ac:dyDescent="0.35">
      <c r="B48" s="14"/>
      <c r="C48" s="13"/>
      <c r="D48" s="13"/>
    </row>
    <row r="49" spans="2:4" x14ac:dyDescent="0.35">
      <c r="B49" s="14"/>
      <c r="C49" s="13"/>
      <c r="D49" s="13"/>
    </row>
    <row r="50" spans="2:4" x14ac:dyDescent="0.35">
      <c r="B50" s="14"/>
      <c r="C50" s="13"/>
      <c r="D50" s="13"/>
    </row>
    <row r="51" spans="2:4" x14ac:dyDescent="0.35">
      <c r="B51" s="14"/>
      <c r="C51" s="13"/>
      <c r="D51" s="13"/>
    </row>
    <row r="52" spans="2:4" x14ac:dyDescent="0.35">
      <c r="B52" s="14"/>
      <c r="C52" s="13"/>
      <c r="D52" s="13"/>
    </row>
    <row r="53" spans="2:4" x14ac:dyDescent="0.35">
      <c r="B53" s="14"/>
      <c r="C53" s="13"/>
      <c r="D53" s="13"/>
    </row>
    <row r="54" spans="2:4" x14ac:dyDescent="0.35">
      <c r="B54" s="14"/>
      <c r="C54" s="13"/>
      <c r="D54" s="13"/>
    </row>
    <row r="55" spans="2:4" x14ac:dyDescent="0.35">
      <c r="B55" s="14"/>
      <c r="C55" s="13"/>
      <c r="D55" s="13"/>
    </row>
    <row r="56" spans="2:4" x14ac:dyDescent="0.35">
      <c r="B56" s="14"/>
      <c r="C56" s="13"/>
      <c r="D56" s="13"/>
    </row>
    <row r="57" spans="2:4" x14ac:dyDescent="0.35">
      <c r="B57" s="14"/>
      <c r="C57" s="13"/>
      <c r="D57" s="13"/>
    </row>
    <row r="58" spans="2:4" x14ac:dyDescent="0.35">
      <c r="B58" s="14"/>
      <c r="C58" s="13"/>
      <c r="D58" s="13"/>
    </row>
    <row r="59" spans="2:4" x14ac:dyDescent="0.35">
      <c r="B59" s="14"/>
      <c r="C59" s="13"/>
      <c r="D59" s="13"/>
    </row>
    <row r="60" spans="2:4" x14ac:dyDescent="0.35">
      <c r="B60" s="14"/>
      <c r="C60" s="13"/>
      <c r="D60" s="13"/>
    </row>
    <row r="61" spans="2:4" x14ac:dyDescent="0.35">
      <c r="B61" s="14"/>
      <c r="C61" s="13"/>
      <c r="D61" s="13"/>
    </row>
    <row r="62" spans="2:4" x14ac:dyDescent="0.35">
      <c r="B62" s="14"/>
      <c r="C62" s="13"/>
      <c r="D62" s="13"/>
    </row>
    <row r="63" spans="2:4" x14ac:dyDescent="0.35">
      <c r="B63" s="14"/>
      <c r="C63" s="13"/>
      <c r="D63" s="13"/>
    </row>
    <row r="64" spans="2:4" x14ac:dyDescent="0.35">
      <c r="B64" s="14"/>
      <c r="C64" s="13"/>
      <c r="D64" s="13"/>
    </row>
    <row r="65" spans="2:4" x14ac:dyDescent="0.35">
      <c r="B65" s="14"/>
      <c r="C65" s="13"/>
      <c r="D65" s="13"/>
    </row>
    <row r="66" spans="2:4" x14ac:dyDescent="0.35">
      <c r="B66" s="14"/>
      <c r="C66" s="13"/>
      <c r="D66" s="13"/>
    </row>
    <row r="67" spans="2:4" x14ac:dyDescent="0.35">
      <c r="B67" s="14"/>
      <c r="C67" s="13"/>
      <c r="D67" s="13"/>
    </row>
    <row r="68" spans="2:4" x14ac:dyDescent="0.35">
      <c r="B68" s="14"/>
      <c r="C68" s="13"/>
      <c r="D68" s="13"/>
    </row>
    <row r="69" spans="2:4" x14ac:dyDescent="0.35">
      <c r="B69" s="14"/>
      <c r="C69" s="13"/>
      <c r="D69" s="13"/>
    </row>
    <row r="70" spans="2:4" x14ac:dyDescent="0.35">
      <c r="B70" s="14"/>
      <c r="C70" s="13"/>
      <c r="D70" s="13"/>
    </row>
    <row r="71" spans="2:4" x14ac:dyDescent="0.35">
      <c r="B71" s="14"/>
      <c r="C71" s="13"/>
      <c r="D71" s="13"/>
    </row>
    <row r="72" spans="2:4" x14ac:dyDescent="0.35">
      <c r="B72" s="14"/>
      <c r="C72" s="13"/>
      <c r="D72" s="13"/>
    </row>
    <row r="73" spans="2:4" x14ac:dyDescent="0.35">
      <c r="B73" s="14"/>
      <c r="C73" s="13"/>
      <c r="D73" s="13"/>
    </row>
    <row r="74" spans="2:4" x14ac:dyDescent="0.35">
      <c r="B74" s="14"/>
      <c r="C74" s="13"/>
      <c r="D74" s="13"/>
    </row>
    <row r="75" spans="2:4" x14ac:dyDescent="0.35">
      <c r="B75" s="14"/>
      <c r="C75" s="13"/>
      <c r="D75" s="13"/>
    </row>
    <row r="76" spans="2:4" x14ac:dyDescent="0.35">
      <c r="B76" s="14"/>
      <c r="C76" s="13"/>
      <c r="D76" s="13"/>
    </row>
    <row r="77" spans="2:4" x14ac:dyDescent="0.35">
      <c r="B77" s="14"/>
      <c r="C77" s="13"/>
      <c r="D77" s="13"/>
    </row>
    <row r="78" spans="2:4" x14ac:dyDescent="0.35">
      <c r="B78" s="14"/>
      <c r="C78" s="13"/>
      <c r="D78" s="13"/>
    </row>
    <row r="79" spans="2:4" x14ac:dyDescent="0.35">
      <c r="B79" s="14"/>
      <c r="C79" s="13"/>
      <c r="D79" s="13"/>
    </row>
    <row r="80" spans="2:4" x14ac:dyDescent="0.35">
      <c r="B80" s="14"/>
      <c r="C80" s="13"/>
      <c r="D80" s="13"/>
    </row>
    <row r="81" spans="2:4" x14ac:dyDescent="0.35">
      <c r="B81" s="14"/>
      <c r="C81" s="13"/>
      <c r="D81" s="13"/>
    </row>
    <row r="82" spans="2:4" x14ac:dyDescent="0.35">
      <c r="B82" s="14"/>
      <c r="C82" s="13"/>
      <c r="D82" s="13"/>
    </row>
    <row r="83" spans="2:4" x14ac:dyDescent="0.35">
      <c r="B83" s="14"/>
      <c r="C83" s="13"/>
      <c r="D83" s="13"/>
    </row>
    <row r="84" spans="2:4" x14ac:dyDescent="0.35">
      <c r="B84" s="14"/>
      <c r="C84" s="13"/>
      <c r="D84" s="13"/>
    </row>
    <row r="85" spans="2:4" x14ac:dyDescent="0.35">
      <c r="B85" s="14"/>
      <c r="C85" s="13"/>
      <c r="D85" s="13"/>
    </row>
    <row r="86" spans="2:4" x14ac:dyDescent="0.35">
      <c r="B86" s="14"/>
      <c r="C86" s="13"/>
      <c r="D86" s="13"/>
    </row>
    <row r="87" spans="2:4" x14ac:dyDescent="0.35">
      <c r="B87" s="14"/>
      <c r="C87" s="13"/>
      <c r="D87" s="13"/>
    </row>
    <row r="88" spans="2:4" x14ac:dyDescent="0.35">
      <c r="B88" s="14"/>
      <c r="C88" s="13"/>
      <c r="D88" s="13"/>
    </row>
    <row r="89" spans="2:4" x14ac:dyDescent="0.35">
      <c r="B89" s="14"/>
      <c r="C89" s="13"/>
      <c r="D89" s="13"/>
    </row>
    <row r="90" spans="2:4" x14ac:dyDescent="0.35">
      <c r="B90" s="14"/>
      <c r="C90" s="13"/>
      <c r="D90" s="13"/>
    </row>
    <row r="91" spans="2:4" x14ac:dyDescent="0.35">
      <c r="B91" s="14"/>
      <c r="C91" s="13"/>
      <c r="D91" s="13"/>
    </row>
    <row r="92" spans="2:4" x14ac:dyDescent="0.35">
      <c r="B92" s="14"/>
      <c r="C92" s="13"/>
      <c r="D92" s="13"/>
    </row>
    <row r="93" spans="2:4" x14ac:dyDescent="0.35">
      <c r="B93" s="14"/>
      <c r="C93" s="13"/>
      <c r="D93" s="13"/>
    </row>
    <row r="94" spans="2:4" x14ac:dyDescent="0.35">
      <c r="B94" s="14"/>
      <c r="C94" s="13"/>
      <c r="D94" s="13"/>
    </row>
    <row r="95" spans="2:4" x14ac:dyDescent="0.35">
      <c r="B95" s="14"/>
      <c r="C95" s="13"/>
      <c r="D95" s="13"/>
    </row>
    <row r="96" spans="2:4" x14ac:dyDescent="0.35">
      <c r="B96" s="14"/>
      <c r="C96" s="13"/>
      <c r="D96" s="13"/>
    </row>
    <row r="97" spans="2:4" x14ac:dyDescent="0.35">
      <c r="B97" s="14"/>
      <c r="C97" s="13"/>
      <c r="D97" s="13"/>
    </row>
    <row r="98" spans="2:4" x14ac:dyDescent="0.35">
      <c r="B98" s="14"/>
      <c r="C98" s="13"/>
      <c r="D98" s="13"/>
    </row>
    <row r="99" spans="2:4" x14ac:dyDescent="0.35">
      <c r="B99" s="14"/>
      <c r="C99" s="13"/>
      <c r="D99" s="13"/>
    </row>
    <row r="100" spans="2:4" x14ac:dyDescent="0.35">
      <c r="B100" s="14"/>
      <c r="C100" s="13"/>
      <c r="D100" s="13"/>
    </row>
    <row r="101" spans="2:4" x14ac:dyDescent="0.35">
      <c r="B101" s="14"/>
      <c r="C101" s="13"/>
      <c r="D101" s="13"/>
    </row>
    <row r="102" spans="2:4" x14ac:dyDescent="0.35">
      <c r="B102" s="14"/>
      <c r="C102" s="13"/>
      <c r="D102" s="13"/>
    </row>
    <row r="103" spans="2:4" x14ac:dyDescent="0.35">
      <c r="B103" s="14"/>
      <c r="C103" s="13"/>
      <c r="D103" s="13"/>
    </row>
    <row r="104" spans="2:4" x14ac:dyDescent="0.35">
      <c r="B104" s="14"/>
      <c r="C104" s="13"/>
      <c r="D104" s="13"/>
    </row>
    <row r="105" spans="2:4" x14ac:dyDescent="0.35">
      <c r="B105" s="14"/>
      <c r="C105" s="13"/>
      <c r="D105" s="13"/>
    </row>
    <row r="106" spans="2:4" x14ac:dyDescent="0.35">
      <c r="B106" s="14"/>
      <c r="C106" s="13"/>
      <c r="D106" s="13"/>
    </row>
    <row r="107" spans="2:4" x14ac:dyDescent="0.35">
      <c r="B107" s="14"/>
      <c r="C107" s="13"/>
      <c r="D107" s="13"/>
    </row>
    <row r="108" spans="2:4" x14ac:dyDescent="0.35">
      <c r="B108" s="14"/>
      <c r="C108" s="13"/>
      <c r="D108" s="13"/>
    </row>
    <row r="109" spans="2:4" x14ac:dyDescent="0.35">
      <c r="B109" s="14"/>
      <c r="C109" s="13"/>
      <c r="D109" s="13"/>
    </row>
    <row r="110" spans="2:4" x14ac:dyDescent="0.35">
      <c r="B110" s="14"/>
      <c r="C110" s="13"/>
      <c r="D110" s="13"/>
    </row>
    <row r="111" spans="2:4" x14ac:dyDescent="0.35">
      <c r="B111" s="14"/>
      <c r="C111" s="13"/>
      <c r="D111" s="13"/>
    </row>
    <row r="112" spans="2:4" x14ac:dyDescent="0.35">
      <c r="B112" s="14"/>
      <c r="C112" s="13"/>
      <c r="D112" s="13"/>
    </row>
    <row r="113" spans="2:4" x14ac:dyDescent="0.35">
      <c r="B113" s="14"/>
      <c r="C113" s="13"/>
      <c r="D113" s="13"/>
    </row>
    <row r="114" spans="2:4" x14ac:dyDescent="0.35">
      <c r="B114" s="14"/>
      <c r="C114" s="13"/>
      <c r="D114" s="13"/>
    </row>
    <row r="115" spans="2:4" x14ac:dyDescent="0.35">
      <c r="B115" s="14"/>
      <c r="C115" s="13"/>
      <c r="D115" s="13"/>
    </row>
    <row r="116" spans="2:4" x14ac:dyDescent="0.35">
      <c r="B116" s="14"/>
      <c r="C116" s="13"/>
      <c r="D116" s="13"/>
    </row>
    <row r="117" spans="2:4" x14ac:dyDescent="0.35">
      <c r="B117" s="14"/>
      <c r="C117" s="13"/>
      <c r="D117" s="13"/>
    </row>
    <row r="118" spans="2:4" x14ac:dyDescent="0.35">
      <c r="B118" s="14"/>
      <c r="C118" s="13"/>
      <c r="D118" s="13"/>
    </row>
    <row r="119" spans="2:4" x14ac:dyDescent="0.35">
      <c r="B119" s="14"/>
      <c r="C119" s="13"/>
      <c r="D119" s="13"/>
    </row>
    <row r="120" spans="2:4" x14ac:dyDescent="0.35">
      <c r="B120" s="14"/>
      <c r="C120" s="13"/>
      <c r="D120" s="13"/>
    </row>
    <row r="121" spans="2:4" x14ac:dyDescent="0.35">
      <c r="B121" s="14"/>
      <c r="C121" s="13"/>
      <c r="D121" s="13"/>
    </row>
    <row r="122" spans="2:4" x14ac:dyDescent="0.35">
      <c r="B122" s="14"/>
      <c r="C122" s="13"/>
      <c r="D122" s="13"/>
    </row>
    <row r="123" spans="2:4" x14ac:dyDescent="0.35">
      <c r="B123" s="14"/>
      <c r="C123" s="13"/>
      <c r="D123" s="13"/>
    </row>
    <row r="124" spans="2:4" x14ac:dyDescent="0.35">
      <c r="B124" s="14"/>
      <c r="C124" s="13"/>
      <c r="D124" s="13"/>
    </row>
    <row r="125" spans="2:4" x14ac:dyDescent="0.35">
      <c r="B125" s="14"/>
      <c r="C125" s="13"/>
      <c r="D125" s="13"/>
    </row>
    <row r="126" spans="2:4" x14ac:dyDescent="0.35">
      <c r="B126" s="14"/>
      <c r="C126" s="13"/>
      <c r="D126" s="13"/>
    </row>
    <row r="127" spans="2:4" x14ac:dyDescent="0.35">
      <c r="B127" s="14"/>
      <c r="C127" s="13"/>
      <c r="D127" s="13"/>
    </row>
    <row r="128" spans="2:4" x14ac:dyDescent="0.35">
      <c r="B128" s="14"/>
      <c r="C128" s="13"/>
      <c r="D128" s="13"/>
    </row>
    <row r="129" spans="2:4" x14ac:dyDescent="0.35">
      <c r="B129" s="14"/>
      <c r="C129" s="13"/>
      <c r="D129" s="13"/>
    </row>
    <row r="130" spans="2:4" x14ac:dyDescent="0.35">
      <c r="B130" s="14"/>
      <c r="C130" s="13"/>
      <c r="D130" s="13"/>
    </row>
    <row r="131" spans="2:4" x14ac:dyDescent="0.35">
      <c r="B131" s="14"/>
      <c r="C131" s="13"/>
      <c r="D131" s="13"/>
    </row>
    <row r="132" spans="2:4" x14ac:dyDescent="0.35">
      <c r="B132" s="14"/>
      <c r="C132" s="13"/>
      <c r="D132" s="13"/>
    </row>
    <row r="133" spans="2:4" x14ac:dyDescent="0.35">
      <c r="B133" s="14"/>
      <c r="C133" s="13"/>
      <c r="D133" s="13"/>
    </row>
    <row r="134" spans="2:4" x14ac:dyDescent="0.35">
      <c r="B134" s="14"/>
      <c r="C134" s="13"/>
      <c r="D134" s="13"/>
    </row>
    <row r="135" spans="2:4" x14ac:dyDescent="0.35">
      <c r="B135" s="14"/>
      <c r="C135" s="13"/>
      <c r="D135" s="13"/>
    </row>
    <row r="136" spans="2:4" x14ac:dyDescent="0.35">
      <c r="B136" s="14"/>
      <c r="C136" s="13"/>
      <c r="D136" s="13"/>
    </row>
    <row r="137" spans="2:4" x14ac:dyDescent="0.35">
      <c r="B137" s="14"/>
      <c r="C137" s="13"/>
      <c r="D137" s="13"/>
    </row>
    <row r="138" spans="2:4" x14ac:dyDescent="0.35">
      <c r="B138" s="14"/>
      <c r="C138" s="13"/>
      <c r="D138" s="13"/>
    </row>
    <row r="139" spans="2:4" x14ac:dyDescent="0.35">
      <c r="B139" s="14"/>
      <c r="C139" s="13"/>
      <c r="D139" s="13"/>
    </row>
    <row r="140" spans="2:4" x14ac:dyDescent="0.35">
      <c r="B140" s="14"/>
      <c r="C140" s="13"/>
      <c r="D140" s="13"/>
    </row>
    <row r="141" spans="2:4" x14ac:dyDescent="0.35">
      <c r="B141" s="14"/>
      <c r="C141" s="13"/>
      <c r="D141" s="13"/>
    </row>
    <row r="142" spans="2:4" x14ac:dyDescent="0.35">
      <c r="B142" s="14"/>
      <c r="C142" s="13"/>
      <c r="D142" s="13"/>
    </row>
    <row r="143" spans="2:4" x14ac:dyDescent="0.35">
      <c r="B143" s="14"/>
      <c r="C143" s="13"/>
      <c r="D143" s="13"/>
    </row>
    <row r="144" spans="2:4" x14ac:dyDescent="0.35">
      <c r="B144" s="14"/>
      <c r="C144" s="13"/>
      <c r="D144" s="13"/>
    </row>
    <row r="145" spans="2:4" x14ac:dyDescent="0.35">
      <c r="B145" s="14"/>
      <c r="C145" s="13"/>
      <c r="D145" s="13"/>
    </row>
    <row r="146" spans="2:4" x14ac:dyDescent="0.35">
      <c r="B146" s="14"/>
      <c r="C146" s="13"/>
      <c r="D146" s="13"/>
    </row>
    <row r="147" spans="2:4" x14ac:dyDescent="0.35">
      <c r="B147" s="14"/>
      <c r="C147" s="13"/>
      <c r="D147" s="13"/>
    </row>
    <row r="148" spans="2:4" x14ac:dyDescent="0.35">
      <c r="B148" s="14"/>
      <c r="C148" s="13"/>
      <c r="D148" s="13"/>
    </row>
    <row r="149" spans="2:4" x14ac:dyDescent="0.35">
      <c r="B149" s="14"/>
      <c r="C149" s="13"/>
      <c r="D149" s="13"/>
    </row>
    <row r="150" spans="2:4" x14ac:dyDescent="0.35">
      <c r="B150" s="14"/>
      <c r="C150" s="13"/>
      <c r="D150" s="13"/>
    </row>
    <row r="151" spans="2:4" x14ac:dyDescent="0.35">
      <c r="B151" s="14"/>
      <c r="C151" s="13"/>
      <c r="D151" s="13"/>
    </row>
    <row r="152" spans="2:4" x14ac:dyDescent="0.35">
      <c r="B152" s="14"/>
      <c r="C152" s="13"/>
      <c r="D152" s="13"/>
    </row>
    <row r="153" spans="2:4" x14ac:dyDescent="0.35">
      <c r="B153" s="14"/>
      <c r="C153" s="13"/>
      <c r="D153" s="13"/>
    </row>
    <row r="154" spans="2:4" x14ac:dyDescent="0.35">
      <c r="B154" s="14"/>
      <c r="C154" s="13"/>
      <c r="D154" s="13"/>
    </row>
    <row r="155" spans="2:4" x14ac:dyDescent="0.35">
      <c r="B155" s="14"/>
      <c r="C155" s="13"/>
      <c r="D155" s="13"/>
    </row>
    <row r="156" spans="2:4" x14ac:dyDescent="0.35">
      <c r="B156" s="14"/>
      <c r="C156" s="13"/>
      <c r="D156" s="13"/>
    </row>
    <row r="157" spans="2:4" x14ac:dyDescent="0.35">
      <c r="B157" s="14"/>
      <c r="C157" s="13"/>
      <c r="D157" s="13"/>
    </row>
    <row r="158" spans="2:4" x14ac:dyDescent="0.35">
      <c r="B158" s="14"/>
      <c r="C158" s="13"/>
      <c r="D158" s="13"/>
    </row>
    <row r="159" spans="2:4" x14ac:dyDescent="0.35">
      <c r="B159" s="14"/>
      <c r="C159" s="13"/>
      <c r="D159" s="13"/>
    </row>
    <row r="160" spans="2:4" x14ac:dyDescent="0.35">
      <c r="B160" s="14"/>
      <c r="C160" s="13"/>
      <c r="D160" s="13"/>
    </row>
    <row r="161" spans="2:4" x14ac:dyDescent="0.35">
      <c r="B161" s="14"/>
      <c r="C161" s="13"/>
      <c r="D161" s="13"/>
    </row>
    <row r="162" spans="2:4" x14ac:dyDescent="0.35">
      <c r="B162" s="14"/>
      <c r="C162" s="13"/>
      <c r="D162" s="13"/>
    </row>
    <row r="163" spans="2:4" x14ac:dyDescent="0.35">
      <c r="B163" s="14"/>
      <c r="C163" s="13"/>
      <c r="D163" s="13"/>
    </row>
    <row r="164" spans="2:4" x14ac:dyDescent="0.35">
      <c r="B164" s="14"/>
      <c r="C164" s="13"/>
      <c r="D164" s="13"/>
    </row>
    <row r="165" spans="2:4" x14ac:dyDescent="0.35">
      <c r="B165" s="14"/>
      <c r="C165" s="13"/>
      <c r="D165" s="13"/>
    </row>
    <row r="166" spans="2:4" x14ac:dyDescent="0.35">
      <c r="B166" s="14"/>
      <c r="C166" s="13"/>
      <c r="D166" s="13"/>
    </row>
    <row r="167" spans="2:4" x14ac:dyDescent="0.35">
      <c r="B167" s="14"/>
      <c r="C167" s="13"/>
      <c r="D167" s="13"/>
    </row>
    <row r="168" spans="2:4" x14ac:dyDescent="0.35">
      <c r="B168" s="14"/>
      <c r="C168" s="13"/>
      <c r="D168" s="13"/>
    </row>
    <row r="169" spans="2:4" x14ac:dyDescent="0.35">
      <c r="B169" s="14"/>
      <c r="C169" s="13"/>
      <c r="D169" s="13"/>
    </row>
    <row r="170" spans="2:4" x14ac:dyDescent="0.35">
      <c r="B170" s="14"/>
      <c r="C170" s="13"/>
      <c r="D170" s="13"/>
    </row>
    <row r="171" spans="2:4" x14ac:dyDescent="0.35">
      <c r="B171" s="14"/>
      <c r="C171" s="13"/>
      <c r="D171" s="13"/>
    </row>
    <row r="172" spans="2:4" x14ac:dyDescent="0.35">
      <c r="B172" s="14"/>
      <c r="C172" s="13"/>
      <c r="D172" s="13"/>
    </row>
    <row r="173" spans="2:4" x14ac:dyDescent="0.35">
      <c r="B173" s="14"/>
      <c r="C173" s="13"/>
      <c r="D173" s="13"/>
    </row>
    <row r="174" spans="2:4" x14ac:dyDescent="0.35">
      <c r="B174" s="14"/>
      <c r="C174" s="13"/>
      <c r="D174" s="13"/>
    </row>
    <row r="175" spans="2:4" x14ac:dyDescent="0.35">
      <c r="B175" s="14"/>
      <c r="C175" s="13"/>
      <c r="D175" s="13"/>
    </row>
    <row r="176" spans="2:4" x14ac:dyDescent="0.35">
      <c r="B176" s="14"/>
      <c r="C176" s="13"/>
      <c r="D176" s="13"/>
    </row>
    <row r="177" spans="2:4" x14ac:dyDescent="0.35">
      <c r="B177" s="14"/>
      <c r="C177" s="13"/>
      <c r="D177" s="13"/>
    </row>
    <row r="178" spans="2:4" x14ac:dyDescent="0.35">
      <c r="B178" s="14"/>
      <c r="C178" s="13"/>
      <c r="D178" s="13"/>
    </row>
    <row r="179" spans="2:4" x14ac:dyDescent="0.35">
      <c r="B179" s="14"/>
      <c r="C179" s="13"/>
      <c r="D179" s="13"/>
    </row>
    <row r="180" spans="2:4" x14ac:dyDescent="0.35">
      <c r="B180" s="14"/>
      <c r="C180" s="13"/>
      <c r="D180" s="13"/>
    </row>
    <row r="181" spans="2:4" x14ac:dyDescent="0.35">
      <c r="B181" s="14"/>
      <c r="C181" s="13"/>
      <c r="D181" s="13"/>
    </row>
    <row r="182" spans="2:4" x14ac:dyDescent="0.35">
      <c r="B182" s="14"/>
      <c r="C182" s="13"/>
      <c r="D182" s="13"/>
    </row>
    <row r="183" spans="2:4" x14ac:dyDescent="0.35">
      <c r="B183" s="14"/>
      <c r="C183" s="13"/>
      <c r="D183" s="13"/>
    </row>
    <row r="184" spans="2:4" x14ac:dyDescent="0.35">
      <c r="B184" s="14"/>
      <c r="C184" s="13"/>
      <c r="D184" s="13"/>
    </row>
    <row r="185" spans="2:4" x14ac:dyDescent="0.35">
      <c r="B185" s="14"/>
      <c r="C185" s="13"/>
      <c r="D185" s="13"/>
    </row>
    <row r="186" spans="2:4" x14ac:dyDescent="0.35">
      <c r="B186" s="14"/>
      <c r="C186" s="13"/>
      <c r="D186" s="13"/>
    </row>
    <row r="187" spans="2:4" x14ac:dyDescent="0.35">
      <c r="B187" s="14"/>
      <c r="C187" s="13"/>
      <c r="D187" s="13"/>
    </row>
    <row r="188" spans="2:4" x14ac:dyDescent="0.35">
      <c r="B188" s="14"/>
      <c r="C188" s="13"/>
      <c r="D188" s="13"/>
    </row>
    <row r="189" spans="2:4" x14ac:dyDescent="0.35">
      <c r="B189" s="14"/>
      <c r="C189" s="13"/>
      <c r="D189" s="13"/>
    </row>
    <row r="190" spans="2:4" x14ac:dyDescent="0.35">
      <c r="B190" s="14"/>
      <c r="C190" s="13"/>
      <c r="D190" s="13"/>
    </row>
    <row r="191" spans="2:4" x14ac:dyDescent="0.35">
      <c r="B191" s="14"/>
      <c r="C191" s="13"/>
      <c r="D191" s="13"/>
    </row>
    <row r="192" spans="2:4" x14ac:dyDescent="0.35">
      <c r="B192" s="14"/>
      <c r="C192" s="13"/>
      <c r="D192" s="13"/>
    </row>
    <row r="193" spans="2:4" x14ac:dyDescent="0.35">
      <c r="B193" s="14"/>
      <c r="C193" s="13"/>
      <c r="D193" s="13"/>
    </row>
    <row r="194" spans="2:4" x14ac:dyDescent="0.35">
      <c r="B194" s="14"/>
      <c r="C194" s="13"/>
      <c r="D194" s="13"/>
    </row>
    <row r="195" spans="2:4" x14ac:dyDescent="0.35">
      <c r="B195" s="14"/>
      <c r="C195" s="13"/>
      <c r="D195" s="13"/>
    </row>
    <row r="196" spans="2:4" x14ac:dyDescent="0.35">
      <c r="B196" s="14"/>
      <c r="C196" s="13"/>
      <c r="D196" s="13"/>
    </row>
    <row r="197" spans="2:4" x14ac:dyDescent="0.35">
      <c r="B197" s="14"/>
      <c r="C197" s="13"/>
      <c r="D197" s="13"/>
    </row>
    <row r="198" spans="2:4" x14ac:dyDescent="0.35">
      <c r="B198" s="14"/>
      <c r="C198" s="13"/>
      <c r="D198" s="13"/>
    </row>
    <row r="199" spans="2:4" x14ac:dyDescent="0.35">
      <c r="B199" s="14"/>
      <c r="C199" s="13"/>
      <c r="D199" s="13"/>
    </row>
    <row r="200" spans="2:4" x14ac:dyDescent="0.35">
      <c r="B200" s="14"/>
      <c r="C200" s="13"/>
      <c r="D200" s="13"/>
    </row>
    <row r="201" spans="2:4" x14ac:dyDescent="0.35">
      <c r="B201" s="14"/>
      <c r="C201" s="13"/>
      <c r="D201" s="13"/>
    </row>
    <row r="202" spans="2:4" x14ac:dyDescent="0.35">
      <c r="B202" s="14"/>
      <c r="C202" s="13"/>
      <c r="D202" s="13"/>
    </row>
    <row r="203" spans="2:4" x14ac:dyDescent="0.35">
      <c r="B203" s="14"/>
      <c r="C203" s="13"/>
      <c r="D203" s="13"/>
    </row>
    <row r="204" spans="2:4" x14ac:dyDescent="0.35">
      <c r="B204" s="14"/>
      <c r="C204" s="13"/>
      <c r="D204" s="13"/>
    </row>
    <row r="205" spans="2:4" x14ac:dyDescent="0.35">
      <c r="B205" s="14"/>
      <c r="C205" s="13"/>
      <c r="D205" s="13"/>
    </row>
    <row r="206" spans="2:4" x14ac:dyDescent="0.35">
      <c r="B206" s="14"/>
      <c r="C206" s="13"/>
      <c r="D206" s="13"/>
    </row>
    <row r="207" spans="2:4" x14ac:dyDescent="0.35">
      <c r="B207" s="14"/>
      <c r="C207" s="13"/>
      <c r="D207" s="13"/>
    </row>
    <row r="208" spans="2:4" x14ac:dyDescent="0.35">
      <c r="B208" s="14"/>
      <c r="C208" s="13"/>
      <c r="D208" s="13"/>
    </row>
    <row r="209" spans="2:4" x14ac:dyDescent="0.35">
      <c r="B209" s="14"/>
      <c r="C209" s="13"/>
      <c r="D209" s="13"/>
    </row>
    <row r="210" spans="2:4" x14ac:dyDescent="0.35">
      <c r="B210" s="14"/>
      <c r="C210" s="13"/>
      <c r="D210" s="13"/>
    </row>
    <row r="211" spans="2:4" x14ac:dyDescent="0.35">
      <c r="B211" s="14"/>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3D42-61A2-408F-B922-CC3F2D7AA70F}">
  <sheetPr codeName="Sheet6"/>
  <dimension ref="A1:P215"/>
  <sheetViews>
    <sheetView zoomScale="80" zoomScaleNormal="80" workbookViewId="0">
      <selection activeCell="C22" sqref="C22"/>
    </sheetView>
  </sheetViews>
  <sheetFormatPr defaultColWidth="8.6328125" defaultRowHeight="14.5" x14ac:dyDescent="0.35"/>
  <cols>
    <col min="1" max="1" width="8.6328125" style="2"/>
    <col min="2" max="2" width="16.90625" style="2" customWidth="1"/>
    <col min="3" max="4" width="10.453125" style="2" customWidth="1"/>
    <col min="5" max="5" width="9.90625" style="2" customWidth="1"/>
    <col min="6" max="18" width="8.6328125" style="2"/>
    <col min="19" max="20" width="12" style="2" bestFit="1" customWidth="1"/>
    <col min="21" max="16384" width="8.6328125" style="2"/>
  </cols>
  <sheetData>
    <row r="1" spans="1:16" s="37" customFormat="1" ht="26" x14ac:dyDescent="0.6">
      <c r="A1" s="37" t="s">
        <v>37</v>
      </c>
    </row>
    <row r="2" spans="1:16" s="1" customFormat="1" x14ac:dyDescent="0.35"/>
    <row r="3" spans="1:16" x14ac:dyDescent="0.35">
      <c r="P3" s="55">
        <v>0</v>
      </c>
    </row>
    <row r="4" spans="1:16" x14ac:dyDescent="0.35">
      <c r="B4" s="19"/>
      <c r="C4" s="20" t="s">
        <v>6</v>
      </c>
      <c r="D4" s="20" t="s">
        <v>7</v>
      </c>
      <c r="E4" s="51" t="s">
        <v>30</v>
      </c>
      <c r="G4" s="52" t="s">
        <v>42</v>
      </c>
      <c r="H4" s="53"/>
    </row>
    <row r="5" spans="1:16" x14ac:dyDescent="0.35">
      <c r="B5" s="22" t="s">
        <v>43</v>
      </c>
      <c r="C5" s="6"/>
      <c r="D5" s="6"/>
      <c r="E5" s="24">
        <v>0.5</v>
      </c>
      <c r="G5" s="17"/>
      <c r="H5" s="17"/>
    </row>
    <row r="6" spans="1:16" x14ac:dyDescent="0.35">
      <c r="B6" s="22" t="s">
        <v>1</v>
      </c>
      <c r="C6" s="23">
        <v>0</v>
      </c>
      <c r="D6" s="23">
        <v>1</v>
      </c>
      <c r="E6" s="17"/>
      <c r="G6" s="17"/>
      <c r="H6" s="17"/>
    </row>
    <row r="7" spans="1:16" x14ac:dyDescent="0.35">
      <c r="B7" s="22" t="s">
        <v>2</v>
      </c>
      <c r="C7" s="23">
        <v>1</v>
      </c>
      <c r="D7" s="23">
        <v>2</v>
      </c>
      <c r="E7" s="7"/>
    </row>
    <row r="8" spans="1:16" x14ac:dyDescent="0.35">
      <c r="B8" s="22" t="s">
        <v>3</v>
      </c>
      <c r="C8" s="7">
        <f>_xlfn.NORM.INV(VaR_Threshold%,muA,sigmaA)</f>
        <v>-1.6448536269514726</v>
      </c>
      <c r="D8" s="7">
        <f>_xlfn.NORM.INV(VaR_Threshold%,muB,sigmaB)</f>
        <v>-2.2897072539029453</v>
      </c>
      <c r="E8" s="7"/>
    </row>
    <row r="9" spans="1:16" x14ac:dyDescent="0.35">
      <c r="B9" s="22" t="s">
        <v>4</v>
      </c>
      <c r="C9" s="7">
        <f>muA-sigmaA*(100/VaR_Threshold)*(1/SQRT(2*PI())*EXP(-0.5*NORMSINV(VaR_Threshold%)^2))</f>
        <v>-2.0627128075074266</v>
      </c>
      <c r="D9" s="7">
        <f>muB-sigmaB*(100/VaR_Threshold)*(1/SQRT(2*PI())*EXP(-0.5*NORMSINV(VaR_Threshold%)^2))</f>
        <v>-3.1254256150148532</v>
      </c>
      <c r="E9" s="7"/>
    </row>
    <row r="11" spans="1:16" x14ac:dyDescent="0.35">
      <c r="B11" s="22" t="s">
        <v>0</v>
      </c>
      <c r="C11" s="23">
        <v>5</v>
      </c>
    </row>
    <row r="12" spans="1:16" x14ac:dyDescent="0.35">
      <c r="B12" s="22" t="s">
        <v>10</v>
      </c>
      <c r="C12" s="54">
        <v>0.5</v>
      </c>
      <c r="D12" s="81">
        <f>1-C12</f>
        <v>0.5</v>
      </c>
    </row>
    <row r="14" spans="1:16" x14ac:dyDescent="0.35">
      <c r="B14" s="20" t="s">
        <v>5</v>
      </c>
      <c r="C14" s="21" t="s">
        <v>6</v>
      </c>
      <c r="D14" s="21" t="s">
        <v>7</v>
      </c>
      <c r="E14" s="21" t="s">
        <v>30</v>
      </c>
    </row>
    <row r="15" spans="1:16" x14ac:dyDescent="0.35">
      <c r="B15" s="7">
        <f>MIN(muA-(4*sigmaA),muB-(4*sigmaB))</f>
        <v>-7</v>
      </c>
      <c r="C15" s="18">
        <f t="shared" ref="C15:C78" si="0">_xlfn.NORM.DIST($B15,muA,sigmaA,FALSE)</f>
        <v>9.1347204083645936E-12</v>
      </c>
      <c r="D15" s="18">
        <f t="shared" ref="D15:D78" si="1">_xlfn.NORM.DIST($B15,muB,sigmaB,FALSE)</f>
        <v>6.6915112882442684E-5</v>
      </c>
      <c r="E15" s="18"/>
    </row>
    <row r="16" spans="1:16" x14ac:dyDescent="0.35">
      <c r="A16" s="2">
        <f>ABS((B215-B15)/200)</f>
        <v>0.08</v>
      </c>
      <c r="B16" s="17">
        <f t="shared" ref="B16:B47" si="2">B15+$A$16</f>
        <v>-6.92</v>
      </c>
      <c r="C16" s="18">
        <f t="shared" si="0"/>
        <v>1.5940811515883886E-11</v>
      </c>
      <c r="D16" s="18">
        <f t="shared" si="1"/>
        <v>7.8462817032766131E-5</v>
      </c>
      <c r="E16" s="18"/>
    </row>
    <row r="17" spans="2:5" x14ac:dyDescent="0.35">
      <c r="B17" s="17">
        <f t="shared" si="2"/>
        <v>-6.84</v>
      </c>
      <c r="C17" s="18">
        <f t="shared" si="0"/>
        <v>2.7640513661679543E-11</v>
      </c>
      <c r="D17" s="18">
        <f t="shared" si="1"/>
        <v>9.1856249001228554E-5</v>
      </c>
      <c r="E17" s="18"/>
    </row>
    <row r="18" spans="2:5" x14ac:dyDescent="0.35">
      <c r="B18" s="17">
        <f t="shared" si="2"/>
        <v>-6.76</v>
      </c>
      <c r="C18" s="18">
        <f t="shared" si="0"/>
        <v>4.762141631915674E-11</v>
      </c>
      <c r="D18" s="18">
        <f t="shared" si="1"/>
        <v>1.0736399075018352E-4</v>
      </c>
      <c r="E18" s="18"/>
    </row>
    <row r="19" spans="2:5" x14ac:dyDescent="0.35">
      <c r="B19" s="17">
        <f t="shared" si="2"/>
        <v>-6.68</v>
      </c>
      <c r="C19" s="18">
        <f t="shared" si="0"/>
        <v>8.1522787527000639E-11</v>
      </c>
      <c r="D19" s="18">
        <f t="shared" si="1"/>
        <v>1.2528922244543037E-4</v>
      </c>
      <c r="E19" s="18"/>
    </row>
    <row r="20" spans="2:5" x14ac:dyDescent="0.35">
      <c r="B20" s="17">
        <f t="shared" si="2"/>
        <v>-6.6</v>
      </c>
      <c r="C20" s="18">
        <f t="shared" si="0"/>
        <v>1.3866799941653172E-10</v>
      </c>
      <c r="D20" s="18">
        <f t="shared" si="1"/>
        <v>1.4597346289573014E-4</v>
      </c>
      <c r="E20" s="18"/>
    </row>
    <row r="21" spans="2:5" x14ac:dyDescent="0.35">
      <c r="B21" s="17">
        <f t="shared" si="2"/>
        <v>-6.52</v>
      </c>
      <c r="C21" s="18">
        <f t="shared" si="0"/>
        <v>2.3436566877932076E-10</v>
      </c>
      <c r="D21" s="18">
        <f t="shared" si="1"/>
        <v>1.6980060624182739E-4</v>
      </c>
      <c r="E21" s="18"/>
    </row>
    <row r="22" spans="2:5" x14ac:dyDescent="0.35">
      <c r="B22" s="17">
        <f t="shared" si="2"/>
        <v>-6.4399999999999995</v>
      </c>
      <c r="C22" s="18">
        <f t="shared" si="0"/>
        <v>3.9357930409014538E-10</v>
      </c>
      <c r="D22" s="18">
        <f t="shared" si="1"/>
        <v>1.9720126248457846E-4</v>
      </c>
      <c r="E22" s="18"/>
    </row>
    <row r="23" spans="2:5" x14ac:dyDescent="0.35">
      <c r="B23" s="17">
        <f t="shared" si="2"/>
        <v>-6.3599999999999994</v>
      </c>
      <c r="C23" s="18">
        <f t="shared" si="0"/>
        <v>6.5673630963611265E-10</v>
      </c>
      <c r="D23" s="18">
        <f t="shared" si="1"/>
        <v>2.2865740702992881E-4</v>
      </c>
      <c r="E23" s="18"/>
    </row>
    <row r="24" spans="2:5" x14ac:dyDescent="0.35">
      <c r="B24" s="17">
        <f t="shared" si="2"/>
        <v>-6.2799999999999994</v>
      </c>
      <c r="C24" s="18">
        <f t="shared" si="0"/>
        <v>1.088855673277068E-9</v>
      </c>
      <c r="D24" s="18">
        <f t="shared" si="1"/>
        <v>2.6470734154746781E-4</v>
      </c>
      <c r="E24" s="18"/>
    </row>
    <row r="25" spans="2:5" x14ac:dyDescent="0.35">
      <c r="B25" s="17">
        <f t="shared" si="2"/>
        <v>-6.1999999999999993</v>
      </c>
      <c r="C25" s="18">
        <f t="shared" si="0"/>
        <v>1.7937839079640922E-9</v>
      </c>
      <c r="D25" s="18">
        <f t="shared" si="1"/>
        <v>3.0595096505688649E-4</v>
      </c>
      <c r="E25" s="18"/>
    </row>
    <row r="26" spans="2:5" x14ac:dyDescent="0.35">
      <c r="B26" s="17">
        <f t="shared" si="2"/>
        <v>-6.1199999999999992</v>
      </c>
      <c r="C26" s="18">
        <f t="shared" si="0"/>
        <v>2.9362325198239412E-9</v>
      </c>
      <c r="D26" s="18">
        <f t="shared" si="1"/>
        <v>3.5305535024401875E-4</v>
      </c>
      <c r="E26" s="18"/>
    </row>
    <row r="27" spans="2:5" x14ac:dyDescent="0.35">
      <c r="B27" s="17">
        <f t="shared" si="2"/>
        <v>-6.0399999999999991</v>
      </c>
      <c r="C27" s="18">
        <f t="shared" si="0"/>
        <v>4.7756366922822924E-9</v>
      </c>
      <c r="D27" s="18">
        <f t="shared" si="1"/>
        <v>4.0676061554090459E-4</v>
      </c>
      <c r="E27" s="18"/>
    </row>
    <row r="28" spans="2:5" x14ac:dyDescent="0.35">
      <c r="B28" s="17">
        <f t="shared" si="2"/>
        <v>-5.9599999999999991</v>
      </c>
      <c r="C28" s="18">
        <f t="shared" si="0"/>
        <v>7.717784212570557E-9</v>
      </c>
      <c r="D28" s="18">
        <f t="shared" si="1"/>
        <v>4.6788607846374064E-4</v>
      </c>
      <c r="E28" s="18"/>
    </row>
    <row r="29" spans="2:5" x14ac:dyDescent="0.35">
      <c r="B29" s="17">
        <f t="shared" si="2"/>
        <v>-5.879999999999999</v>
      </c>
      <c r="C29" s="18">
        <f t="shared" si="0"/>
        <v>1.2392944314150173E-8</v>
      </c>
      <c r="D29" s="18">
        <f t="shared" si="1"/>
        <v>5.3733667007686836E-4</v>
      </c>
      <c r="E29" s="18"/>
    </row>
    <row r="30" spans="2:5" x14ac:dyDescent="0.35">
      <c r="B30" s="17">
        <f t="shared" si="2"/>
        <v>-5.7999999999999989</v>
      </c>
      <c r="C30" s="18">
        <f t="shared" si="0"/>
        <v>1.9773196406244814E-8</v>
      </c>
      <c r="D30" s="18">
        <f t="shared" si="1"/>
        <v>6.1610958423651051E-4</v>
      </c>
      <c r="E30" s="18"/>
    </row>
    <row r="31" spans="2:5" x14ac:dyDescent="0.35">
      <c r="B31" s="17">
        <f t="shared" si="2"/>
        <v>-5.7199999999999989</v>
      </c>
      <c r="C31" s="18">
        <f t="shared" si="0"/>
        <v>3.1347273817919896E-8</v>
      </c>
      <c r="D31" s="18">
        <f t="shared" si="1"/>
        <v>7.0530112847069304E-4</v>
      </c>
      <c r="E31" s="18"/>
    </row>
    <row r="32" spans="2:5" x14ac:dyDescent="0.35">
      <c r="B32" s="17">
        <f t="shared" si="2"/>
        <v>-5.6399999999999988</v>
      </c>
      <c r="C32" s="18">
        <f t="shared" si="0"/>
        <v>4.9379102271104754E-8</v>
      </c>
      <c r="D32" s="18">
        <f t="shared" si="1"/>
        <v>8.0611373598856373E-4</v>
      </c>
      <c r="E32" s="18"/>
    </row>
    <row r="33" spans="2:5" x14ac:dyDescent="0.35">
      <c r="B33" s="17">
        <f t="shared" si="2"/>
        <v>-5.5599999999999987</v>
      </c>
      <c r="C33" s="18">
        <f t="shared" si="0"/>
        <v>7.7287118885229607E-8</v>
      </c>
      <c r="D33" s="18">
        <f t="shared" si="1"/>
        <v>9.1986309041214125E-4</v>
      </c>
      <c r="E33" s="18"/>
    </row>
    <row r="34" spans="2:5" x14ac:dyDescent="0.35">
      <c r="B34" s="17">
        <f t="shared" si="2"/>
        <v>-5.4799999999999986</v>
      </c>
      <c r="C34" s="18">
        <f t="shared" si="0"/>
        <v>1.2019642790628337E-7</v>
      </c>
      <c r="D34" s="18">
        <f t="shared" si="1"/>
        <v>1.0479853064289746E-3</v>
      </c>
      <c r="E34" s="18"/>
    </row>
    <row r="35" spans="2:5" x14ac:dyDescent="0.35">
      <c r="B35" s="17">
        <f t="shared" si="2"/>
        <v>-5.3999999999999986</v>
      </c>
      <c r="C35" s="18">
        <f t="shared" si="0"/>
        <v>1.8573618445553061E-7</v>
      </c>
      <c r="D35" s="18">
        <f t="shared" si="1"/>
        <v>1.1920441007324243E-3</v>
      </c>
      <c r="E35" s="18"/>
    </row>
    <row r="36" spans="2:5" x14ac:dyDescent="0.35">
      <c r="B36" s="17">
        <f t="shared" si="2"/>
        <v>-5.3199999999999985</v>
      </c>
      <c r="C36" s="18">
        <f t="shared" si="0"/>
        <v>2.8518192322840016E-7</v>
      </c>
      <c r="D36" s="18">
        <f t="shared" si="1"/>
        <v>1.3537378784203549E-3</v>
      </c>
      <c r="E36" s="18"/>
    </row>
    <row r="37" spans="2:5" x14ac:dyDescent="0.35">
      <c r="B37" s="17">
        <f t="shared" si="2"/>
        <v>-5.2399999999999984</v>
      </c>
      <c r="C37" s="18">
        <f t="shared" si="0"/>
        <v>4.3507886075151478E-7</v>
      </c>
      <c r="D37" s="18">
        <f t="shared" si="1"/>
        <v>1.5349066505523743E-3</v>
      </c>
      <c r="E37" s="18"/>
    </row>
    <row r="38" spans="2:5" x14ac:dyDescent="0.35">
      <c r="B38" s="17">
        <f t="shared" si="2"/>
        <v>-5.1599999999999984</v>
      </c>
      <c r="C38" s="18">
        <f t="shared" si="0"/>
        <v>6.595298968575275E-7</v>
      </c>
      <c r="D38" s="18">
        <f t="shared" si="1"/>
        <v>1.7375386889274737E-3</v>
      </c>
      <c r="E38" s="18"/>
    </row>
    <row r="39" spans="2:5" x14ac:dyDescent="0.35">
      <c r="B39" s="17">
        <f t="shared" si="2"/>
        <v>-5.0799999999999983</v>
      </c>
      <c r="C39" s="18">
        <f t="shared" si="0"/>
        <v>9.9339394133992092E-7</v>
      </c>
      <c r="D39" s="18">
        <f t="shared" si="1"/>
        <v>1.9637768144623946E-3</v>
      </c>
      <c r="E39" s="18"/>
    </row>
    <row r="40" spans="2:5" x14ac:dyDescent="0.35">
      <c r="B40" s="17">
        <f t="shared" si="2"/>
        <v>-4.9999999999999982</v>
      </c>
      <c r="C40" s="18">
        <f t="shared" si="0"/>
        <v>1.486719514734311E-6</v>
      </c>
      <c r="D40" s="18">
        <f t="shared" si="1"/>
        <v>2.2159242059690094E-3</v>
      </c>
      <c r="E40" s="18"/>
    </row>
    <row r="41" spans="2:5" x14ac:dyDescent="0.35">
      <c r="B41" s="17">
        <f t="shared" si="2"/>
        <v>-4.9199999999999982</v>
      </c>
      <c r="C41" s="18">
        <f t="shared" si="0"/>
        <v>2.2108388745684411E-6</v>
      </c>
      <c r="D41" s="18">
        <f t="shared" si="1"/>
        <v>2.4964496068061947E-3</v>
      </c>
      <c r="E41" s="18"/>
    </row>
    <row r="42" spans="2:5" x14ac:dyDescent="0.35">
      <c r="B42" s="17">
        <f t="shared" si="2"/>
        <v>-4.8399999999999981</v>
      </c>
      <c r="C42" s="18">
        <f t="shared" si="0"/>
        <v>3.2666729639933044E-6</v>
      </c>
      <c r="D42" s="18">
        <f t="shared" si="1"/>
        <v>2.8079917979954919E-3</v>
      </c>
      <c r="E42" s="18"/>
    </row>
    <row r="43" spans="2:5" x14ac:dyDescent="0.35">
      <c r="B43" s="17">
        <f t="shared" si="2"/>
        <v>-4.759999999999998</v>
      </c>
      <c r="C43" s="18">
        <f t="shared" si="0"/>
        <v>4.7959510215525641E-6</v>
      </c>
      <c r="D43" s="18">
        <f t="shared" si="1"/>
        <v>3.1533631981329724E-3</v>
      </c>
      <c r="E43" s="18"/>
    </row>
    <row r="44" spans="2:5" x14ac:dyDescent="0.35">
      <c r="B44" s="17">
        <f t="shared" si="2"/>
        <v>-4.6799999999999979</v>
      </c>
      <c r="C44" s="18">
        <f t="shared" si="0"/>
        <v>6.996234143270455E-6</v>
      </c>
      <c r="D44" s="18">
        <f t="shared" si="1"/>
        <v>3.5355524430097339E-3</v>
      </c>
      <c r="E44" s="18"/>
    </row>
    <row r="45" spans="2:5" x14ac:dyDescent="0.35">
      <c r="B45" s="17">
        <f t="shared" si="2"/>
        <v>-4.5999999999999979</v>
      </c>
      <c r="C45" s="18">
        <f t="shared" si="0"/>
        <v>1.014085206548685E-5</v>
      </c>
      <c r="D45" s="18">
        <f t="shared" si="1"/>
        <v>3.9577257914899947E-3</v>
      </c>
      <c r="E45" s="18"/>
    </row>
    <row r="46" spans="2:5" x14ac:dyDescent="0.35">
      <c r="B46" s="17">
        <f t="shared" si="2"/>
        <v>-4.5199999999999978</v>
      </c>
      <c r="C46" s="18">
        <f t="shared" si="0"/>
        <v>1.4605118139153044E-5</v>
      </c>
      <c r="D46" s="18">
        <f t="shared" si="1"/>
        <v>4.4232271991186253E-3</v>
      </c>
      <c r="E46" s="18"/>
    </row>
    <row r="47" spans="2:5" x14ac:dyDescent="0.35">
      <c r="B47" s="17">
        <f t="shared" si="2"/>
        <v>-4.4399999999999977</v>
      </c>
      <c r="C47" s="18">
        <f t="shared" si="0"/>
        <v>2.0900477900450665E-5</v>
      </c>
      <c r="D47" s="18">
        <f t="shared" si="1"/>
        <v>4.935576897375585E-3</v>
      </c>
      <c r="E47" s="18"/>
    </row>
    <row r="48" spans="2:5" x14ac:dyDescent="0.35">
      <c r="B48" s="17">
        <f t="shared" ref="B48:B79" si="3">B47+$A$16</f>
        <v>-4.3599999999999977</v>
      </c>
      <c r="C48" s="18">
        <f t="shared" si="0"/>
        <v>2.9718567676442518E-5</v>
      </c>
      <c r="D48" s="18">
        <f t="shared" si="1"/>
        <v>5.4984683147028058E-3</v>
      </c>
      <c r="E48" s="18"/>
    </row>
    <row r="49" spans="2:5" x14ac:dyDescent="0.35">
      <c r="B49" s="17">
        <f t="shared" si="3"/>
        <v>-4.2799999999999976</v>
      </c>
      <c r="C49" s="18">
        <f t="shared" si="0"/>
        <v>4.1987502931617769E-5</v>
      </c>
      <c r="D49" s="18">
        <f t="shared" si="1"/>
        <v>6.1157631756390066E-3</v>
      </c>
      <c r="E49" s="18"/>
    </row>
    <row r="50" spans="2:5" x14ac:dyDescent="0.35">
      <c r="B50" s="17">
        <f t="shared" si="3"/>
        <v>-4.1999999999999975</v>
      </c>
      <c r="C50" s="18">
        <f t="shared" si="0"/>
        <v>5.8943067756540478E-5</v>
      </c>
      <c r="D50" s="18">
        <f t="shared" si="1"/>
        <v>6.7914846168428307E-3</v>
      </c>
      <c r="E50" s="18"/>
    </row>
    <row r="51" spans="2:5" x14ac:dyDescent="0.35">
      <c r="B51" s="17">
        <f t="shared" si="3"/>
        <v>-4.1199999999999974</v>
      </c>
      <c r="C51" s="18">
        <f t="shared" si="0"/>
        <v>8.221781653628687E-5</v>
      </c>
      <c r="D51" s="18">
        <f t="shared" si="1"/>
        <v>7.5298081636887525E-3</v>
      </c>
      <c r="E51" s="18"/>
    </row>
    <row r="52" spans="2:5" x14ac:dyDescent="0.35">
      <c r="B52" s="17">
        <f t="shared" si="3"/>
        <v>-4.0399999999999974</v>
      </c>
      <c r="C52" s="18">
        <f t="shared" si="0"/>
        <v>1.1395139806886584E-4</v>
      </c>
      <c r="D52" s="18">
        <f t="shared" si="1"/>
        <v>8.335050418690558E-3</v>
      </c>
      <c r="E52" s="18"/>
    </row>
    <row r="53" spans="2:5" x14ac:dyDescent="0.35">
      <c r="B53" s="17">
        <f t="shared" si="3"/>
        <v>-3.9599999999999973</v>
      </c>
      <c r="C53" s="18">
        <f t="shared" si="0"/>
        <v>1.5692563406553394E-4</v>
      </c>
      <c r="D53" s="18">
        <f t="shared" si="1"/>
        <v>9.2116553234310571E-3</v>
      </c>
      <c r="E53" s="18"/>
    </row>
    <row r="54" spans="2:5" x14ac:dyDescent="0.35">
      <c r="B54" s="17">
        <f t="shared" si="3"/>
        <v>-3.8799999999999972</v>
      </c>
      <c r="C54" s="18">
        <f t="shared" si="0"/>
        <v>2.1472798150036932E-4</v>
      </c>
      <c r="D54" s="18">
        <f t="shared" si="1"/>
        <v>1.016417786911295E-2</v>
      </c>
      <c r="E54" s="18"/>
    </row>
    <row r="55" spans="2:5" x14ac:dyDescent="0.35">
      <c r="B55" s="17">
        <f t="shared" si="3"/>
        <v>-3.7999999999999972</v>
      </c>
      <c r="C55" s="18">
        <f t="shared" si="0"/>
        <v>2.9194692579146342E-4</v>
      </c>
      <c r="D55" s="18">
        <f t="shared" si="1"/>
        <v>1.1197265147421484E-2</v>
      </c>
      <c r="E55" s="18"/>
    </row>
    <row r="56" spans="2:5" x14ac:dyDescent="0.35">
      <c r="B56" s="17">
        <f t="shared" si="3"/>
        <v>-3.7199999999999971</v>
      </c>
      <c r="C56" s="18">
        <f t="shared" si="0"/>
        <v>3.9440252496916083E-4</v>
      </c>
      <c r="D56" s="18">
        <f t="shared" si="1"/>
        <v>1.2315634653191292E-2</v>
      </c>
      <c r="E56" s="18"/>
    </row>
    <row r="57" spans="2:5" x14ac:dyDescent="0.35">
      <c r="B57" s="17">
        <f t="shared" si="3"/>
        <v>-3.639999999999997</v>
      </c>
      <c r="C57" s="18">
        <f t="shared" si="0"/>
        <v>5.2941468309494082E-4</v>
      </c>
      <c r="D57" s="18">
        <f t="shared" si="1"/>
        <v>1.3524049773440936E-2</v>
      </c>
      <c r="E57" s="18"/>
    </row>
    <row r="58" spans="2:5" x14ac:dyDescent="0.35">
      <c r="B58" s="17">
        <f t="shared" si="3"/>
        <v>-3.5599999999999969</v>
      </c>
      <c r="C58" s="18">
        <f t="shared" si="0"/>
        <v>7.0611070048804379E-4</v>
      </c>
      <c r="D58" s="18">
        <f t="shared" si="1"/>
        <v>1.4827292423670686E-2</v>
      </c>
      <c r="E58" s="18"/>
    </row>
    <row r="59" spans="2:5" x14ac:dyDescent="0.35">
      <c r="B59" s="17">
        <f t="shared" si="3"/>
        <v>-3.4799999999999969</v>
      </c>
      <c r="C59" s="18">
        <f t="shared" si="0"/>
        <v>9.3577215692748964E-4</v>
      </c>
      <c r="D59" s="18">
        <f t="shared" si="1"/>
        <v>1.6230132821848785E-2</v>
      </c>
      <c r="E59" s="18"/>
    </row>
    <row r="60" spans="2:5" x14ac:dyDescent="0.35">
      <c r="B60" s="17">
        <f t="shared" si="3"/>
        <v>-3.3999999999999968</v>
      </c>
      <c r="C60" s="18">
        <f t="shared" si="0"/>
        <v>1.2322191684730329E-3</v>
      </c>
      <c r="D60" s="18">
        <f t="shared" si="1"/>
        <v>1.7737296423115785E-2</v>
      </c>
      <c r="E60" s="18"/>
    </row>
    <row r="61" spans="2:5" x14ac:dyDescent="0.35">
      <c r="B61" s="17">
        <f t="shared" si="3"/>
        <v>-3.3199999999999967</v>
      </c>
      <c r="C61" s="18">
        <f t="shared" si="0"/>
        <v>1.6122274719771418E-3</v>
      </c>
      <c r="D61" s="18">
        <f t="shared" si="1"/>
        <v>1.9353428073727873E-2</v>
      </c>
      <c r="E61" s="18"/>
    </row>
    <row r="62" spans="2:5" x14ac:dyDescent="0.35">
      <c r="B62" s="17">
        <f t="shared" si="3"/>
        <v>-3.2399999999999967</v>
      </c>
      <c r="C62" s="18">
        <f t="shared" si="0"/>
        <v>2.0959706128579657E-3</v>
      </c>
      <c r="D62" s="18">
        <f t="shared" si="1"/>
        <v>2.1083053480885239E-2</v>
      </c>
      <c r="E62" s="18"/>
    </row>
    <row r="63" spans="2:5" x14ac:dyDescent="0.35">
      <c r="B63" s="17">
        <f t="shared" si="3"/>
        <v>-3.1599999999999966</v>
      </c>
      <c r="C63" s="18">
        <f t="shared" si="0"/>
        <v>2.7074757568407311E-3</v>
      </c>
      <c r="D63" s="18">
        <f t="shared" si="1"/>
        <v>2.2930538135527537E-2</v>
      </c>
      <c r="E63" s="18"/>
    </row>
    <row r="64" spans="2:5" x14ac:dyDescent="0.35">
      <c r="B64" s="17">
        <f t="shared" si="3"/>
        <v>-3.0799999999999965</v>
      </c>
      <c r="C64" s="18">
        <f t="shared" si="0"/>
        <v>3.4750773778549752E-3</v>
      </c>
      <c r="D64" s="18">
        <f t="shared" si="1"/>
        <v>2.4900043867535474E-2</v>
      </c>
      <c r="E64" s="18"/>
    </row>
    <row r="65" spans="2:5" x14ac:dyDescent="0.35">
      <c r="B65" s="17">
        <f t="shared" si="3"/>
        <v>-2.9999999999999964</v>
      </c>
      <c r="C65" s="18">
        <f t="shared" si="0"/>
        <v>4.4318484119380544E-3</v>
      </c>
      <c r="D65" s="18">
        <f t="shared" si="1"/>
        <v>2.6995483256594125E-2</v>
      </c>
      <c r="E65" s="18"/>
    </row>
    <row r="66" spans="2:5" x14ac:dyDescent="0.35">
      <c r="B66" s="17">
        <f t="shared" si="3"/>
        <v>-2.9199999999999964</v>
      </c>
      <c r="C66" s="18">
        <f t="shared" si="0"/>
        <v>5.6159835959910236E-3</v>
      </c>
      <c r="D66" s="18">
        <f t="shared" si="1"/>
        <v>2.9220472166725835E-2</v>
      </c>
      <c r="E66" s="18"/>
    </row>
    <row r="67" spans="2:5" x14ac:dyDescent="0.35">
      <c r="B67" s="17">
        <f t="shared" si="3"/>
        <v>-2.8399999999999963</v>
      </c>
      <c r="C67" s="18">
        <f t="shared" si="0"/>
        <v>7.071104886019525E-3</v>
      </c>
      <c r="D67" s="18">
        <f t="shared" si="1"/>
        <v>3.1578280717599438E-2</v>
      </c>
      <c r="E67" s="18"/>
    </row>
    <row r="68" spans="2:5" x14ac:dyDescent="0.35">
      <c r="B68" s="17">
        <f t="shared" si="3"/>
        <v>-2.7599999999999962</v>
      </c>
      <c r="C68" s="18">
        <f t="shared" si="0"/>
        <v>8.8464543982373182E-3</v>
      </c>
      <c r="D68" s="18">
        <f t="shared" si="1"/>
        <v>3.40717830505224E-2</v>
      </c>
      <c r="E68" s="18"/>
    </row>
    <row r="69" spans="2:5" x14ac:dyDescent="0.35">
      <c r="B69" s="17">
        <f t="shared" si="3"/>
        <v>-2.6799999999999962</v>
      </c>
      <c r="C69" s="18">
        <f t="shared" si="0"/>
        <v>1.0996936629405693E-2</v>
      </c>
      <c r="D69" s="18">
        <f t="shared" si="1"/>
        <v>3.670340629082857E-2</v>
      </c>
      <c r="E69" s="18"/>
    </row>
    <row r="70" spans="2:5" x14ac:dyDescent="0.35">
      <c r="B70" s="17">
        <f t="shared" si="3"/>
        <v>-2.5999999999999961</v>
      </c>
      <c r="C70" s="18">
        <f t="shared" si="0"/>
        <v>1.3582969233685757E-2</v>
      </c>
      <c r="D70" s="18">
        <f t="shared" si="1"/>
        <v>3.9475079150447213E-2</v>
      </c>
      <c r="E70" s="18"/>
    </row>
    <row r="71" spans="2:5" x14ac:dyDescent="0.35">
      <c r="B71" s="17">
        <f t="shared" si="3"/>
        <v>-2.519999999999996</v>
      </c>
      <c r="C71" s="18">
        <f t="shared" si="0"/>
        <v>1.6670100837381227E-2</v>
      </c>
      <c r="D71" s="18">
        <f t="shared" si="1"/>
        <v>4.2388180654011266E-2</v>
      </c>
      <c r="E71" s="18"/>
    </row>
    <row r="72" spans="2:5" x14ac:dyDescent="0.35">
      <c r="B72" s="17">
        <f t="shared" si="3"/>
        <v>-2.4399999999999959</v>
      </c>
      <c r="C72" s="18">
        <f t="shared" si="0"/>
        <v>2.0328355738226035E-2</v>
      </c>
      <c r="D72" s="18">
        <f t="shared" si="1"/>
        <v>4.5443489508141588E-2</v>
      </c>
      <c r="E72" s="18"/>
    </row>
    <row r="73" spans="2:5" x14ac:dyDescent="0.35">
      <c r="B73" s="17">
        <f t="shared" si="3"/>
        <v>-2.3599999999999959</v>
      </c>
      <c r="C73" s="18">
        <f t="shared" si="0"/>
        <v>2.4631269306382736E-2</v>
      </c>
      <c r="D73" s="18">
        <f t="shared" si="1"/>
        <v>4.8641134665733922E-2</v>
      </c>
      <c r="E73" s="18"/>
    </row>
    <row r="74" spans="2:5" x14ac:dyDescent="0.35">
      <c r="B74" s="17">
        <f t="shared" si="3"/>
        <v>-2.2799999999999958</v>
      </c>
      <c r="C74" s="18">
        <f t="shared" si="0"/>
        <v>2.9654584847341556E-2</v>
      </c>
      <c r="D74" s="18">
        <f t="shared" si="1"/>
        <v>5.1980547664382273E-2</v>
      </c>
      <c r="E74" s="18"/>
    </row>
    <row r="75" spans="2:5" x14ac:dyDescent="0.35">
      <c r="B75" s="17">
        <f t="shared" si="3"/>
        <v>-2.1999999999999957</v>
      </c>
      <c r="C75" s="18">
        <f t="shared" si="0"/>
        <v>3.5474592846231771E-2</v>
      </c>
      <c r="D75" s="18">
        <f t="shared" si="1"/>
        <v>5.5460417339727959E-2</v>
      </c>
      <c r="E75" s="18"/>
    </row>
    <row r="76" spans="2:5" x14ac:dyDescent="0.35">
      <c r="B76" s="17">
        <f t="shared" si="3"/>
        <v>-2.1199999999999957</v>
      </c>
      <c r="C76" s="18">
        <f t="shared" si="0"/>
        <v>4.2166106961770707E-2</v>
      </c>
      <c r="D76" s="18">
        <f t="shared" si="1"/>
        <v>5.9078647529791348E-2</v>
      </c>
      <c r="E76" s="18"/>
    </row>
    <row r="77" spans="2:5" x14ac:dyDescent="0.35">
      <c r="B77" s="17">
        <f t="shared" si="3"/>
        <v>-2.0399999999999956</v>
      </c>
      <c r="C77" s="18">
        <f t="shared" si="0"/>
        <v>4.9800087735071212E-2</v>
      </c>
      <c r="D77" s="18">
        <f t="shared" si="1"/>
        <v>6.2832318394544284E-2</v>
      </c>
      <c r="E77" s="18"/>
    </row>
    <row r="78" spans="2:5" x14ac:dyDescent="0.35">
      <c r="B78" s="17">
        <f t="shared" si="3"/>
        <v>-1.9599999999999955</v>
      </c>
      <c r="C78" s="18">
        <f t="shared" si="0"/>
        <v>5.8440944333451983E-2</v>
      </c>
      <c r="D78" s="18">
        <f t="shared" si="1"/>
        <v>6.6717651975501377E-2</v>
      </c>
      <c r="E78" s="18"/>
    </row>
    <row r="79" spans="2:5" x14ac:dyDescent="0.35">
      <c r="B79" s="17">
        <f t="shared" si="3"/>
        <v>-1.8799999999999955</v>
      </c>
      <c r="C79" s="18">
        <f t="shared" ref="C79:C142" si="4">_xlfn.NORM.DIST($B79,muA,sigmaA,FALSE)</f>
        <v>6.8143566101045161E-2</v>
      </c>
      <c r="D79" s="18">
        <f t="shared" ref="D79:D142" si="5">_xlfn.NORM.DIST($B79,muB,sigmaB,FALSE)</f>
        <v>7.0729982612419612E-2</v>
      </c>
      <c r="E79" s="18"/>
    </row>
    <row r="80" spans="2:5" x14ac:dyDescent="0.35">
      <c r="B80" s="17">
        <f t="shared" ref="B80:B111" si="6">B79+$A$16</f>
        <v>-1.7999999999999954</v>
      </c>
      <c r="C80" s="18">
        <f t="shared" si="4"/>
        <v>7.8950158300894815E-2</v>
      </c>
      <c r="D80" s="18">
        <f t="shared" si="5"/>
        <v>7.4863732817872675E-2</v>
      </c>
      <c r="E80" s="18"/>
    </row>
    <row r="81" spans="2:5" x14ac:dyDescent="0.35">
      <c r="B81" s="17">
        <f t="shared" si="6"/>
        <v>-1.7199999999999953</v>
      </c>
      <c r="C81" s="18">
        <f t="shared" si="4"/>
        <v>9.0886979016283606E-2</v>
      </c>
      <c r="D81" s="18">
        <f t="shared" si="5"/>
        <v>7.9112395185191767E-2</v>
      </c>
      <c r="E81" s="18"/>
    </row>
    <row r="82" spans="2:5" x14ac:dyDescent="0.35">
      <c r="B82" s="17">
        <f t="shared" si="6"/>
        <v>-1.6399999999999952</v>
      </c>
      <c r="C82" s="18">
        <f t="shared" si="4"/>
        <v>0.103961095328765</v>
      </c>
      <c r="D82" s="18">
        <f t="shared" si="5"/>
        <v>8.3468520870857169E-2</v>
      </c>
      <c r="E82" s="18"/>
    </row>
    <row r="83" spans="2:5" x14ac:dyDescent="0.35">
      <c r="B83" s="17">
        <f t="shared" si="6"/>
        <v>-1.5599999999999952</v>
      </c>
      <c r="C83" s="18">
        <f t="shared" si="4"/>
        <v>0.11815729505958315</v>
      </c>
      <c r="D83" s="18">
        <f t="shared" si="5"/>
        <v>8.7923715148831447E-2</v>
      </c>
      <c r="E83" s="18"/>
    </row>
    <row r="84" spans="2:5" x14ac:dyDescent="0.35">
      <c r="B84" s="17">
        <f t="shared" si="6"/>
        <v>-1.4799999999999951</v>
      </c>
      <c r="C84" s="18">
        <f t="shared" si="4"/>
        <v>0.13343530395100325</v>
      </c>
      <c r="D84" s="18">
        <f t="shared" si="5"/>
        <v>9.2468640481652931E-2</v>
      </c>
      <c r="E84" s="18"/>
    </row>
    <row r="85" spans="2:5" x14ac:dyDescent="0.35">
      <c r="B85" s="17">
        <f t="shared" si="6"/>
        <v>-1.399999999999995</v>
      </c>
      <c r="C85" s="18">
        <f t="shared" si="4"/>
        <v>0.1497274656357459</v>
      </c>
      <c r="D85" s="18">
        <f t="shared" si="5"/>
        <v>9.7093027491606768E-2</v>
      </c>
      <c r="E85" s="18"/>
    </row>
    <row r="86" spans="2:5" x14ac:dyDescent="0.35">
      <c r="B86" s="17">
        <f t="shared" si="6"/>
        <v>-1.319999999999995</v>
      </c>
      <c r="C86" s="18">
        <f t="shared" si="4"/>
        <v>0.16693704174171495</v>
      </c>
      <c r="D86" s="18">
        <f t="shared" si="5"/>
        <v>0.10178569414538001</v>
      </c>
      <c r="E86" s="18"/>
    </row>
    <row r="87" spans="2:5" x14ac:dyDescent="0.35">
      <c r="B87" s="17">
        <f t="shared" si="6"/>
        <v>-1.2399999999999949</v>
      </c>
      <c r="C87" s="18">
        <f t="shared" si="4"/>
        <v>0.18493728096330647</v>
      </c>
      <c r="D87" s="18">
        <f t="shared" si="5"/>
        <v>0.10653457338785925</v>
      </c>
      <c r="E87" s="18"/>
    </row>
    <row r="88" spans="2:5" x14ac:dyDescent="0.35">
      <c r="B88" s="17">
        <f t="shared" si="6"/>
        <v>-1.1599999999999948</v>
      </c>
      <c r="C88" s="18">
        <f t="shared" si="4"/>
        <v>0.20357138829076069</v>
      </c>
      <c r="D88" s="18">
        <f t="shared" si="5"/>
        <v>0.11132674937588088</v>
      </c>
      <c r="E88" s="18"/>
    </row>
    <row r="89" spans="2:5" x14ac:dyDescent="0.35">
      <c r="B89" s="17">
        <f t="shared" si="6"/>
        <v>-1.0799999999999947</v>
      </c>
      <c r="C89" s="18">
        <f t="shared" si="4"/>
        <v>0.22265349875176244</v>
      </c>
      <c r="D89" s="18">
        <f t="shared" si="5"/>
        <v>0.11614850237168342</v>
      </c>
      <c r="E89" s="18"/>
    </row>
    <row r="90" spans="2:5" x14ac:dyDescent="0.35">
      <c r="B90" s="17">
        <f t="shared" si="6"/>
        <v>-0.99999999999999478</v>
      </c>
      <c r="C90" s="18">
        <f t="shared" si="4"/>
        <v>0.24197072451914464</v>
      </c>
      <c r="D90" s="18">
        <f t="shared" si="5"/>
        <v>0.12098536225957202</v>
      </c>
      <c r="E90" s="18"/>
    </row>
    <row r="91" spans="2:5" x14ac:dyDescent="0.35">
      <c r="B91" s="17">
        <f t="shared" si="6"/>
        <v>-0.91999999999999482</v>
      </c>
      <c r="C91" s="18">
        <f t="shared" si="4"/>
        <v>0.26128630124955438</v>
      </c>
      <c r="D91" s="18">
        <f t="shared" si="5"/>
        <v>0.12582217054905886</v>
      </c>
      <c r="E91" s="18"/>
    </row>
    <row r="92" spans="2:5" x14ac:dyDescent="0.35">
      <c r="B92" s="17">
        <f t="shared" si="6"/>
        <v>-0.83999999999999486</v>
      </c>
      <c r="C92" s="18">
        <f t="shared" si="4"/>
        <v>0.28034381083962179</v>
      </c>
      <c r="D92" s="18">
        <f t="shared" si="5"/>
        <v>0.13064315062477685</v>
      </c>
      <c r="E92" s="18"/>
    </row>
    <row r="93" spans="2:5" x14ac:dyDescent="0.35">
      <c r="B93" s="17">
        <f t="shared" si="6"/>
        <v>-0.7599999999999949</v>
      </c>
      <c r="C93" s="18">
        <f t="shared" si="4"/>
        <v>0.29887240577595398</v>
      </c>
      <c r="D93" s="18">
        <f t="shared" si="5"/>
        <v>0.13543198589916933</v>
      </c>
      <c r="E93" s="18"/>
    </row>
    <row r="94" spans="2:5" x14ac:dyDescent="0.35">
      <c r="B94" s="17">
        <f t="shared" si="6"/>
        <v>-0.67999999999999494</v>
      </c>
      <c r="C94" s="18">
        <f t="shared" si="4"/>
        <v>0.31659290771089388</v>
      </c>
      <c r="D94" s="18">
        <f t="shared" si="5"/>
        <v>0.14017190541981059</v>
      </c>
      <c r="E94" s="18"/>
    </row>
    <row r="95" spans="2:5" x14ac:dyDescent="0.35">
      <c r="B95" s="17">
        <f t="shared" si="6"/>
        <v>-0.59999999999999498</v>
      </c>
      <c r="C95" s="18">
        <f t="shared" si="4"/>
        <v>0.33322460289180067</v>
      </c>
      <c r="D95" s="18">
        <f t="shared" si="5"/>
        <v>0.14484577638074167</v>
      </c>
      <c r="E95" s="18"/>
    </row>
    <row r="96" spans="2:5" x14ac:dyDescent="0.35">
      <c r="B96" s="17">
        <f t="shared" si="6"/>
        <v>-0.51999999999999502</v>
      </c>
      <c r="C96" s="18">
        <f t="shared" si="4"/>
        <v>0.34849251275897541</v>
      </c>
      <c r="D96" s="18">
        <f t="shared" si="5"/>
        <v>0.14943620288797665</v>
      </c>
      <c r="E96" s="18"/>
    </row>
    <row r="97" spans="2:5" x14ac:dyDescent="0.35">
      <c r="B97" s="17">
        <f t="shared" si="6"/>
        <v>-0.43999999999999501</v>
      </c>
      <c r="C97" s="18">
        <f t="shared" si="4"/>
        <v>0.36213488241309305</v>
      </c>
      <c r="D97" s="18">
        <f t="shared" si="5"/>
        <v>0.15392563023492675</v>
      </c>
      <c r="E97" s="18"/>
    </row>
    <row r="98" spans="2:5" x14ac:dyDescent="0.35">
      <c r="B98" s="17">
        <f t="shared" si="6"/>
        <v>-0.35999999999999499</v>
      </c>
      <c r="C98" s="18">
        <f t="shared" si="4"/>
        <v>0.37391060537312909</v>
      </c>
      <c r="D98" s="18">
        <f t="shared" si="5"/>
        <v>0.15829645385544666</v>
      </c>
      <c r="E98" s="18"/>
    </row>
    <row r="99" spans="2:5" x14ac:dyDescent="0.35">
      <c r="B99" s="17">
        <f t="shared" si="6"/>
        <v>-0.27999999999999498</v>
      </c>
      <c r="C99" s="18">
        <f t="shared" si="4"/>
        <v>0.38360629215347908</v>
      </c>
      <c r="D99" s="18">
        <f t="shared" si="5"/>
        <v>0.16253113204204134</v>
      </c>
      <c r="E99" s="18"/>
    </row>
    <row r="100" spans="2:5" x14ac:dyDescent="0.35">
      <c r="B100" s="17">
        <f t="shared" si="6"/>
        <v>-0.19999999999999496</v>
      </c>
      <c r="C100" s="18">
        <f t="shared" si="4"/>
        <v>0.39104269397545627</v>
      </c>
      <c r="D100" s="18">
        <f t="shared" si="5"/>
        <v>0.16661230144590009</v>
      </c>
      <c r="E100" s="18"/>
    </row>
    <row r="101" spans="2:5" x14ac:dyDescent="0.35">
      <c r="B101" s="17">
        <f t="shared" si="6"/>
        <v>-0.11999999999999496</v>
      </c>
      <c r="C101" s="18">
        <f t="shared" si="4"/>
        <v>0.39608021179365632</v>
      </c>
      <c r="D101" s="18">
        <f t="shared" si="5"/>
        <v>0.17052289431517653</v>
      </c>
      <c r="E101" s="18"/>
    </row>
    <row r="102" spans="2:5" x14ac:dyDescent="0.35">
      <c r="B102" s="17">
        <f t="shared" si="6"/>
        <v>-3.9999999999994956E-2</v>
      </c>
      <c r="C102" s="18">
        <f t="shared" si="4"/>
        <v>0.39862325420460509</v>
      </c>
      <c r="D102" s="18">
        <f t="shared" si="5"/>
        <v>0.17424625637948749</v>
      </c>
      <c r="E102" s="18"/>
    </row>
    <row r="103" spans="2:5" x14ac:dyDescent="0.35">
      <c r="B103" s="17">
        <f t="shared" si="6"/>
        <v>4.0000000000005045E-2</v>
      </c>
      <c r="C103" s="18">
        <f t="shared" si="4"/>
        <v>0.39862325420460493</v>
      </c>
      <c r="D103" s="18">
        <f t="shared" si="5"/>
        <v>0.17776626425299877</v>
      </c>
      <c r="E103" s="18"/>
    </row>
    <row r="104" spans="2:5" x14ac:dyDescent="0.35">
      <c r="B104" s="17">
        <f t="shared" si="6"/>
        <v>0.12000000000000505</v>
      </c>
      <c r="C104" s="18">
        <f t="shared" si="4"/>
        <v>0.39608021179365582</v>
      </c>
      <c r="D104" s="18">
        <f t="shared" si="5"/>
        <v>0.1810674412065463</v>
      </c>
      <c r="E104" s="18"/>
    </row>
    <row r="105" spans="2:5" x14ac:dyDescent="0.35">
      <c r="B105" s="17">
        <f t="shared" si="6"/>
        <v>0.20000000000000506</v>
      </c>
      <c r="C105" s="18">
        <f t="shared" si="4"/>
        <v>0.39104269397545549</v>
      </c>
      <c r="D105" s="18">
        <f t="shared" si="5"/>
        <v>0.18413507015166186</v>
      </c>
      <c r="E105" s="18"/>
    </row>
    <row r="106" spans="2:5" x14ac:dyDescent="0.35">
      <c r="B106" s="17">
        <f t="shared" si="6"/>
        <v>0.28000000000000508</v>
      </c>
      <c r="C106" s="18">
        <f t="shared" si="4"/>
        <v>0.38360629215347797</v>
      </c>
      <c r="D106" s="18">
        <f t="shared" si="5"/>
        <v>0.18695530268656435</v>
      </c>
      <c r="E106" s="18"/>
    </row>
    <row r="107" spans="2:5" x14ac:dyDescent="0.35">
      <c r="B107" s="17">
        <f t="shared" si="6"/>
        <v>0.36000000000000509</v>
      </c>
      <c r="C107" s="18">
        <f t="shared" si="4"/>
        <v>0.3739106053731277</v>
      </c>
      <c r="D107" s="18">
        <f t="shared" si="5"/>
        <v>0.189515263076351</v>
      </c>
      <c r="E107" s="18"/>
    </row>
    <row r="108" spans="2:5" x14ac:dyDescent="0.35">
      <c r="B108" s="17">
        <f t="shared" si="6"/>
        <v>0.44000000000000511</v>
      </c>
      <c r="C108" s="18">
        <f t="shared" si="4"/>
        <v>0.36213488241309144</v>
      </c>
      <c r="D108" s="18">
        <f t="shared" si="5"/>
        <v>0.1918031460767394</v>
      </c>
      <c r="E108" s="18"/>
    </row>
    <row r="109" spans="2:5" x14ac:dyDescent="0.35">
      <c r="B109" s="17">
        <f t="shared" si="6"/>
        <v>0.52000000000000512</v>
      </c>
      <c r="C109" s="18">
        <f t="shared" si="4"/>
        <v>0.34849251275897358</v>
      </c>
      <c r="D109" s="18">
        <f t="shared" si="5"/>
        <v>0.19380830756250719</v>
      </c>
      <c r="E109" s="18"/>
    </row>
    <row r="110" spans="2:5" x14ac:dyDescent="0.35">
      <c r="B110" s="17">
        <f t="shared" si="6"/>
        <v>0.60000000000000508</v>
      </c>
      <c r="C110" s="18">
        <f t="shared" si="4"/>
        <v>0.33322460289179862</v>
      </c>
      <c r="D110" s="18">
        <f t="shared" si="5"/>
        <v>0.19552134698772805</v>
      </c>
      <c r="E110" s="18"/>
    </row>
    <row r="111" spans="2:5" x14ac:dyDescent="0.35">
      <c r="B111" s="17">
        <f t="shared" si="6"/>
        <v>0.68000000000000504</v>
      </c>
      <c r="C111" s="18">
        <f t="shared" si="4"/>
        <v>0.31659290771089171</v>
      </c>
      <c r="D111" s="18">
        <f t="shared" si="5"/>
        <v>0.1969341807842705</v>
      </c>
      <c r="E111" s="18"/>
    </row>
    <row r="112" spans="2:5" x14ac:dyDescent="0.35">
      <c r="B112" s="17">
        <f t="shared" ref="B112:B143" si="7">B111+$A$16</f>
        <v>0.760000000000005</v>
      </c>
      <c r="C112" s="18">
        <f t="shared" si="4"/>
        <v>0.29887240577595164</v>
      </c>
      <c r="D112" s="18">
        <f t="shared" si="5"/>
        <v>0.19804010589682811</v>
      </c>
      <c r="E112" s="18"/>
    </row>
    <row r="113" spans="2:5" x14ac:dyDescent="0.35">
      <c r="B113" s="17">
        <f t="shared" si="7"/>
        <v>0.84000000000000496</v>
      </c>
      <c r="C113" s="18">
        <f t="shared" si="4"/>
        <v>0.2803438108396194</v>
      </c>
      <c r="D113" s="18">
        <f t="shared" si="5"/>
        <v>0.19883385275580448</v>
      </c>
      <c r="E113" s="18"/>
    </row>
    <row r="114" spans="2:5" x14ac:dyDescent="0.35">
      <c r="B114" s="17">
        <f t="shared" si="7"/>
        <v>0.92000000000000492</v>
      </c>
      <c r="C114" s="18">
        <f t="shared" si="4"/>
        <v>0.26128630124955199</v>
      </c>
      <c r="D114" s="18">
        <f t="shared" si="5"/>
        <v>0.19931162710230252</v>
      </c>
      <c r="E114" s="18"/>
    </row>
    <row r="115" spans="2:5" x14ac:dyDescent="0.35">
      <c r="B115" s="17">
        <f t="shared" si="7"/>
        <v>1.0000000000000049</v>
      </c>
      <c r="C115" s="18">
        <f t="shared" si="4"/>
        <v>0.24197072451914217</v>
      </c>
      <c r="D115" s="18">
        <f t="shared" si="5"/>
        <v>0.19947114020071635</v>
      </c>
      <c r="E115" s="18"/>
    </row>
    <row r="116" spans="2:5" x14ac:dyDescent="0.35">
      <c r="B116" s="17">
        <f t="shared" si="7"/>
        <v>1.080000000000005</v>
      </c>
      <c r="C116" s="18">
        <f t="shared" si="4"/>
        <v>0.22265349875175994</v>
      </c>
      <c r="D116" s="18">
        <f t="shared" si="5"/>
        <v>0.19931162710230249</v>
      </c>
      <c r="E116" s="18"/>
    </row>
    <row r="117" spans="2:5" x14ac:dyDescent="0.35">
      <c r="B117" s="17">
        <f t="shared" si="7"/>
        <v>1.160000000000005</v>
      </c>
      <c r="C117" s="18">
        <f t="shared" si="4"/>
        <v>0.20357138829075824</v>
      </c>
      <c r="D117" s="18">
        <f t="shared" si="5"/>
        <v>0.19883385275580442</v>
      </c>
      <c r="E117" s="18"/>
    </row>
    <row r="118" spans="2:5" x14ac:dyDescent="0.35">
      <c r="B118" s="17">
        <f t="shared" si="7"/>
        <v>1.2400000000000051</v>
      </c>
      <c r="C118" s="18">
        <f t="shared" si="4"/>
        <v>0.18493728096330411</v>
      </c>
      <c r="D118" s="18">
        <f t="shared" si="5"/>
        <v>0.19804010589682799</v>
      </c>
      <c r="E118" s="18"/>
    </row>
    <row r="119" spans="2:5" x14ac:dyDescent="0.35">
      <c r="B119" s="17">
        <f t="shared" si="7"/>
        <v>1.3200000000000052</v>
      </c>
      <c r="C119" s="18">
        <f t="shared" si="4"/>
        <v>0.16693704174171267</v>
      </c>
      <c r="D119" s="18">
        <f t="shared" si="5"/>
        <v>0.19693418078427033</v>
      </c>
      <c r="E119" s="18"/>
    </row>
    <row r="120" spans="2:5" x14ac:dyDescent="0.35">
      <c r="B120" s="17">
        <f t="shared" si="7"/>
        <v>1.4000000000000052</v>
      </c>
      <c r="C120" s="18">
        <f t="shared" si="4"/>
        <v>0.14972746563574377</v>
      </c>
      <c r="D120" s="18">
        <f t="shared" si="5"/>
        <v>0.19552134698772786</v>
      </c>
      <c r="E120" s="18"/>
    </row>
    <row r="121" spans="2:5" x14ac:dyDescent="0.35">
      <c r="B121" s="17">
        <f t="shared" si="7"/>
        <v>1.4800000000000053</v>
      </c>
      <c r="C121" s="18">
        <f t="shared" si="4"/>
        <v>0.13343530395100123</v>
      </c>
      <c r="D121" s="18">
        <f t="shared" si="5"/>
        <v>0.19380830756250694</v>
      </c>
      <c r="E121" s="18"/>
    </row>
    <row r="122" spans="2:5" x14ac:dyDescent="0.35">
      <c r="B122" s="17">
        <f t="shared" si="7"/>
        <v>1.5600000000000054</v>
      </c>
      <c r="C122" s="18">
        <f t="shared" si="4"/>
        <v>0.11815729505958129</v>
      </c>
      <c r="D122" s="18">
        <f t="shared" si="5"/>
        <v>0.19180314607673912</v>
      </c>
      <c r="E122" s="18"/>
    </row>
    <row r="123" spans="2:5" x14ac:dyDescent="0.35">
      <c r="B123" s="17">
        <f t="shared" si="7"/>
        <v>1.6400000000000055</v>
      </c>
      <c r="C123" s="18">
        <f t="shared" si="4"/>
        <v>0.10396109532876328</v>
      </c>
      <c r="D123" s="18">
        <f t="shared" si="5"/>
        <v>0.18951526307635069</v>
      </c>
      <c r="E123" s="18"/>
    </row>
    <row r="124" spans="2:5" x14ac:dyDescent="0.35">
      <c r="B124" s="17">
        <f t="shared" si="7"/>
        <v>1.7200000000000055</v>
      </c>
      <c r="C124" s="18">
        <f t="shared" si="4"/>
        <v>9.088697901628201E-2</v>
      </c>
      <c r="D124" s="18">
        <f t="shared" si="5"/>
        <v>0.18695530268656402</v>
      </c>
      <c r="E124" s="18"/>
    </row>
    <row r="125" spans="2:5" x14ac:dyDescent="0.35">
      <c r="B125" s="17">
        <f t="shared" si="7"/>
        <v>1.8000000000000056</v>
      </c>
      <c r="C125" s="18">
        <f t="shared" si="4"/>
        <v>7.8950158300893358E-2</v>
      </c>
      <c r="D125" s="18">
        <f t="shared" si="5"/>
        <v>0.18413507015166147</v>
      </c>
      <c r="E125" s="18"/>
    </row>
    <row r="126" spans="2:5" x14ac:dyDescent="0.35">
      <c r="B126" s="17">
        <f t="shared" si="7"/>
        <v>1.8800000000000057</v>
      </c>
      <c r="C126" s="18">
        <f t="shared" si="4"/>
        <v>6.8143566101043843E-2</v>
      </c>
      <c r="D126" s="18">
        <f t="shared" si="5"/>
        <v>0.18106744120654589</v>
      </c>
      <c r="E126" s="18"/>
    </row>
    <row r="127" spans="2:5" x14ac:dyDescent="0.35">
      <c r="B127" s="17">
        <f t="shared" si="7"/>
        <v>1.9600000000000057</v>
      </c>
      <c r="C127" s="18">
        <f t="shared" si="4"/>
        <v>5.844094433345081E-2</v>
      </c>
      <c r="D127" s="18">
        <f t="shared" si="5"/>
        <v>0.1777662642529983</v>
      </c>
      <c r="E127" s="18"/>
    </row>
    <row r="128" spans="2:5" x14ac:dyDescent="0.35">
      <c r="B128" s="17">
        <f t="shared" si="7"/>
        <v>2.0400000000000058</v>
      </c>
      <c r="C128" s="18">
        <f t="shared" si="4"/>
        <v>4.9800087735070171E-2</v>
      </c>
      <c r="D128" s="18">
        <f t="shared" si="5"/>
        <v>0.17424625637948701</v>
      </c>
      <c r="E128" s="18"/>
    </row>
    <row r="129" spans="2:5" x14ac:dyDescent="0.35">
      <c r="B129" s="17">
        <f t="shared" si="7"/>
        <v>2.1200000000000059</v>
      </c>
      <c r="C129" s="18">
        <f t="shared" si="4"/>
        <v>4.2166106961769804E-2</v>
      </c>
      <c r="D129" s="18">
        <f t="shared" si="5"/>
        <v>0.170522894315176</v>
      </c>
      <c r="E129" s="18"/>
    </row>
    <row r="130" spans="2:5" x14ac:dyDescent="0.35">
      <c r="B130" s="17">
        <f t="shared" si="7"/>
        <v>2.200000000000006</v>
      </c>
      <c r="C130" s="18">
        <f t="shared" si="4"/>
        <v>3.5474592846230966E-2</v>
      </c>
      <c r="D130" s="18">
        <f t="shared" si="5"/>
        <v>0.16661230144589953</v>
      </c>
      <c r="E130" s="18"/>
    </row>
    <row r="131" spans="2:5" x14ac:dyDescent="0.35">
      <c r="B131" s="17">
        <f t="shared" si="7"/>
        <v>2.280000000000006</v>
      </c>
      <c r="C131" s="18">
        <f t="shared" si="4"/>
        <v>2.9654584847340858E-2</v>
      </c>
      <c r="D131" s="18">
        <f t="shared" si="5"/>
        <v>0.16253113204204075</v>
      </c>
      <c r="E131" s="18"/>
    </row>
    <row r="132" spans="2:5" x14ac:dyDescent="0.35">
      <c r="B132" s="17">
        <f t="shared" si="7"/>
        <v>2.3600000000000061</v>
      </c>
      <c r="C132" s="18">
        <f t="shared" si="4"/>
        <v>2.4631269306382146E-2</v>
      </c>
      <c r="D132" s="18">
        <f t="shared" si="5"/>
        <v>0.15829645385544608</v>
      </c>
      <c r="E132" s="18"/>
    </row>
    <row r="133" spans="2:5" x14ac:dyDescent="0.35">
      <c r="B133" s="17">
        <f t="shared" si="7"/>
        <v>2.4400000000000062</v>
      </c>
      <c r="C133" s="18">
        <f t="shared" si="4"/>
        <v>2.0328355738225532E-2</v>
      </c>
      <c r="D133" s="18">
        <f t="shared" si="5"/>
        <v>0.15392563023492611</v>
      </c>
      <c r="E133" s="18"/>
    </row>
    <row r="134" spans="2:5" x14ac:dyDescent="0.35">
      <c r="B134" s="17">
        <f t="shared" si="7"/>
        <v>2.5200000000000062</v>
      </c>
      <c r="C134" s="18">
        <f t="shared" si="4"/>
        <v>1.66701008373808E-2</v>
      </c>
      <c r="D134" s="18">
        <f t="shared" si="5"/>
        <v>0.14943620288797602</v>
      </c>
      <c r="E134" s="18"/>
    </row>
    <row r="135" spans="2:5" x14ac:dyDescent="0.35">
      <c r="B135" s="17">
        <f t="shared" si="7"/>
        <v>2.6000000000000063</v>
      </c>
      <c r="C135" s="18">
        <f t="shared" si="4"/>
        <v>1.3582969233685398E-2</v>
      </c>
      <c r="D135" s="18">
        <f t="shared" si="5"/>
        <v>0.144845776380741</v>
      </c>
      <c r="E135" s="18"/>
    </row>
    <row r="136" spans="2:5" x14ac:dyDescent="0.35">
      <c r="B136" s="17">
        <f t="shared" si="7"/>
        <v>2.6800000000000064</v>
      </c>
      <c r="C136" s="18">
        <f t="shared" si="4"/>
        <v>1.0996936629405391E-2</v>
      </c>
      <c r="D136" s="18">
        <f t="shared" si="5"/>
        <v>0.14017190541980989</v>
      </c>
      <c r="E136" s="18"/>
    </row>
    <row r="137" spans="2:5" x14ac:dyDescent="0.35">
      <c r="B137" s="17">
        <f t="shared" si="7"/>
        <v>2.7600000000000064</v>
      </c>
      <c r="C137" s="18">
        <f t="shared" si="4"/>
        <v>8.846454398237065E-3</v>
      </c>
      <c r="D137" s="18">
        <f t="shared" si="5"/>
        <v>0.13543198589916863</v>
      </c>
      <c r="E137" s="18"/>
    </row>
    <row r="138" spans="2:5" x14ac:dyDescent="0.35">
      <c r="B138" s="17">
        <f t="shared" si="7"/>
        <v>2.8400000000000065</v>
      </c>
      <c r="C138" s="18">
        <f t="shared" si="4"/>
        <v>7.0711048860193169E-3</v>
      </c>
      <c r="D138" s="18">
        <f t="shared" si="5"/>
        <v>0.13064315062477619</v>
      </c>
      <c r="E138" s="18"/>
    </row>
    <row r="139" spans="2:5" x14ac:dyDescent="0.35">
      <c r="B139" s="17">
        <f t="shared" si="7"/>
        <v>2.9200000000000066</v>
      </c>
      <c r="C139" s="18">
        <f t="shared" si="4"/>
        <v>5.6159835959908588E-3</v>
      </c>
      <c r="D139" s="18">
        <f t="shared" si="5"/>
        <v>0.12582217054905817</v>
      </c>
      <c r="E139" s="18"/>
    </row>
    <row r="140" spans="2:5" x14ac:dyDescent="0.35">
      <c r="B140" s="17">
        <f t="shared" si="7"/>
        <v>3.0000000000000067</v>
      </c>
      <c r="C140" s="18">
        <f t="shared" si="4"/>
        <v>4.4318484119379208E-3</v>
      </c>
      <c r="D140" s="18">
        <f t="shared" si="5"/>
        <v>0.12098536225957128</v>
      </c>
      <c r="E140" s="18"/>
    </row>
    <row r="141" spans="2:5" x14ac:dyDescent="0.35">
      <c r="B141" s="17">
        <f t="shared" si="7"/>
        <v>3.0800000000000067</v>
      </c>
      <c r="C141" s="18">
        <f t="shared" si="4"/>
        <v>3.4750773778548637E-3</v>
      </c>
      <c r="D141" s="18">
        <f t="shared" si="5"/>
        <v>0.1161485023716827</v>
      </c>
      <c r="E141" s="18"/>
    </row>
    <row r="142" spans="2:5" x14ac:dyDescent="0.35">
      <c r="B142" s="17">
        <f t="shared" si="7"/>
        <v>3.1600000000000068</v>
      </c>
      <c r="C142" s="18">
        <f t="shared" si="4"/>
        <v>2.7074757568406448E-3</v>
      </c>
      <c r="D142" s="18">
        <f t="shared" si="5"/>
        <v>0.11132674937588015</v>
      </c>
      <c r="E142" s="18"/>
    </row>
    <row r="143" spans="2:5" x14ac:dyDescent="0.35">
      <c r="B143" s="17">
        <f t="shared" si="7"/>
        <v>3.2400000000000069</v>
      </c>
      <c r="C143" s="18">
        <f t="shared" ref="C143:C206" si="8">_xlfn.NORM.DIST($B143,muA,sigmaA,FALSE)</f>
        <v>2.0959706128578972E-3</v>
      </c>
      <c r="D143" s="18">
        <f t="shared" ref="D143:D206" si="9">_xlfn.NORM.DIST($B143,muB,sigmaB,FALSE)</f>
        <v>0.10653457338785852</v>
      </c>
      <c r="E143" s="18"/>
    </row>
    <row r="144" spans="2:5" x14ac:dyDescent="0.35">
      <c r="B144" s="17">
        <f t="shared" ref="B144:B175" si="10">B143+$A$16</f>
        <v>3.3200000000000069</v>
      </c>
      <c r="C144" s="18">
        <f t="shared" si="8"/>
        <v>1.6122274719770873E-3</v>
      </c>
      <c r="D144" s="18">
        <f t="shared" si="9"/>
        <v>0.1017856941453793</v>
      </c>
      <c r="E144" s="18"/>
    </row>
    <row r="145" spans="2:5" x14ac:dyDescent="0.35">
      <c r="B145" s="17">
        <f t="shared" si="10"/>
        <v>3.400000000000007</v>
      </c>
      <c r="C145" s="18">
        <f t="shared" si="8"/>
        <v>1.2322191684729894E-3</v>
      </c>
      <c r="D145" s="18">
        <f t="shared" si="9"/>
        <v>9.7093027491606074E-2</v>
      </c>
      <c r="E145" s="18"/>
    </row>
    <row r="146" spans="2:5" x14ac:dyDescent="0.35">
      <c r="B146" s="17">
        <f t="shared" si="10"/>
        <v>3.4800000000000071</v>
      </c>
      <c r="C146" s="18">
        <f t="shared" si="8"/>
        <v>9.3577215692745635E-4</v>
      </c>
      <c r="D146" s="18">
        <f t="shared" si="9"/>
        <v>9.2468640481652251E-2</v>
      </c>
      <c r="E146" s="18"/>
    </row>
    <row r="147" spans="2:5" x14ac:dyDescent="0.35">
      <c r="B147" s="17">
        <f t="shared" si="10"/>
        <v>3.5600000000000072</v>
      </c>
      <c r="C147" s="18">
        <f t="shared" si="8"/>
        <v>7.0611070048801864E-4</v>
      </c>
      <c r="D147" s="18">
        <f t="shared" si="9"/>
        <v>8.7923715148830781E-2</v>
      </c>
      <c r="E147" s="18"/>
    </row>
    <row r="148" spans="2:5" x14ac:dyDescent="0.35">
      <c r="B148" s="17">
        <f t="shared" si="10"/>
        <v>3.6400000000000072</v>
      </c>
      <c r="C148" s="18">
        <f t="shared" si="8"/>
        <v>5.2941468309492098E-4</v>
      </c>
      <c r="D148" s="18">
        <f t="shared" si="9"/>
        <v>8.3468520870856516E-2</v>
      </c>
      <c r="E148" s="18"/>
    </row>
    <row r="149" spans="2:5" x14ac:dyDescent="0.35">
      <c r="B149" s="17">
        <f t="shared" si="10"/>
        <v>3.7200000000000073</v>
      </c>
      <c r="C149" s="18">
        <f t="shared" si="8"/>
        <v>3.9440252496914576E-4</v>
      </c>
      <c r="D149" s="18">
        <f t="shared" si="9"/>
        <v>7.9112395185191128E-2</v>
      </c>
      <c r="E149" s="18"/>
    </row>
    <row r="150" spans="2:5" x14ac:dyDescent="0.35">
      <c r="B150" s="17">
        <f t="shared" si="10"/>
        <v>3.8000000000000074</v>
      </c>
      <c r="C150" s="18">
        <f t="shared" si="8"/>
        <v>2.9194692579145198E-4</v>
      </c>
      <c r="D150" s="18">
        <f t="shared" si="9"/>
        <v>7.4863732817872036E-2</v>
      </c>
      <c r="E150" s="18"/>
    </row>
    <row r="151" spans="2:5" x14ac:dyDescent="0.35">
      <c r="B151" s="17">
        <f t="shared" si="10"/>
        <v>3.8800000000000074</v>
      </c>
      <c r="C151" s="18">
        <f t="shared" si="8"/>
        <v>2.1472798150036073E-4</v>
      </c>
      <c r="D151" s="18">
        <f t="shared" si="9"/>
        <v>7.0729982612419015E-2</v>
      </c>
      <c r="E151" s="18"/>
    </row>
    <row r="152" spans="2:5" x14ac:dyDescent="0.35">
      <c r="B152" s="17">
        <f t="shared" si="10"/>
        <v>3.9600000000000075</v>
      </c>
      <c r="C152" s="18">
        <f t="shared" si="8"/>
        <v>1.5692563406552752E-4</v>
      </c>
      <c r="D152" s="18">
        <f t="shared" si="9"/>
        <v>6.671765197550078E-2</v>
      </c>
      <c r="E152" s="18"/>
    </row>
    <row r="153" spans="2:5" x14ac:dyDescent="0.35">
      <c r="B153" s="17">
        <f t="shared" si="10"/>
        <v>4.0400000000000071</v>
      </c>
      <c r="C153" s="18">
        <f t="shared" si="8"/>
        <v>1.1395139806886138E-4</v>
      </c>
      <c r="D153" s="18">
        <f t="shared" si="9"/>
        <v>6.2832318394543743E-2</v>
      </c>
      <c r="E153" s="18"/>
    </row>
    <row r="154" spans="2:5" x14ac:dyDescent="0.35">
      <c r="B154" s="17">
        <f t="shared" si="10"/>
        <v>4.1200000000000072</v>
      </c>
      <c r="C154" s="18">
        <f t="shared" si="8"/>
        <v>8.2217816536283509E-5</v>
      </c>
      <c r="D154" s="18">
        <f t="shared" si="9"/>
        <v>5.90786475297908E-2</v>
      </c>
      <c r="E154" s="18"/>
    </row>
    <row r="155" spans="2:5" x14ac:dyDescent="0.35">
      <c r="B155" s="17">
        <f t="shared" si="10"/>
        <v>4.2000000000000073</v>
      </c>
      <c r="C155" s="18">
        <f t="shared" si="8"/>
        <v>5.8943067756538066E-5</v>
      </c>
      <c r="D155" s="18">
        <f t="shared" si="9"/>
        <v>5.5460417339727459E-2</v>
      </c>
      <c r="E155" s="18"/>
    </row>
    <row r="156" spans="2:5" x14ac:dyDescent="0.35">
      <c r="B156" s="17">
        <f t="shared" si="10"/>
        <v>4.2800000000000074</v>
      </c>
      <c r="C156" s="18">
        <f t="shared" si="8"/>
        <v>4.198750293161598E-5</v>
      </c>
      <c r="D156" s="18">
        <f t="shared" si="9"/>
        <v>5.1980547664381788E-2</v>
      </c>
      <c r="E156" s="18"/>
    </row>
    <row r="157" spans="2:5" x14ac:dyDescent="0.35">
      <c r="B157" s="17">
        <f t="shared" si="10"/>
        <v>4.3600000000000074</v>
      </c>
      <c r="C157" s="18">
        <f t="shared" si="8"/>
        <v>2.971856767644125E-5</v>
      </c>
      <c r="D157" s="18">
        <f t="shared" si="9"/>
        <v>4.864113466573345E-2</v>
      </c>
      <c r="E157" s="18"/>
    </row>
    <row r="158" spans="2:5" x14ac:dyDescent="0.35">
      <c r="B158" s="17">
        <f t="shared" si="10"/>
        <v>4.4400000000000075</v>
      </c>
      <c r="C158" s="18">
        <f t="shared" si="8"/>
        <v>2.090047790044974E-5</v>
      </c>
      <c r="D158" s="18">
        <f t="shared" si="9"/>
        <v>4.544348950814113E-2</v>
      </c>
      <c r="E158" s="18"/>
    </row>
    <row r="159" spans="2:5" x14ac:dyDescent="0.35">
      <c r="B159" s="17">
        <f t="shared" si="10"/>
        <v>4.5200000000000076</v>
      </c>
      <c r="C159" s="18">
        <f t="shared" si="8"/>
        <v>1.4605118139152395E-5</v>
      </c>
      <c r="D159" s="18">
        <f t="shared" si="9"/>
        <v>4.2388180654010836E-2</v>
      </c>
      <c r="E159" s="18"/>
    </row>
    <row r="160" spans="2:5" x14ac:dyDescent="0.35">
      <c r="B160" s="17">
        <f t="shared" si="10"/>
        <v>4.6000000000000076</v>
      </c>
      <c r="C160" s="18">
        <f t="shared" si="8"/>
        <v>1.0140852065486381E-5</v>
      </c>
      <c r="D160" s="18">
        <f t="shared" si="9"/>
        <v>3.9475079150446818E-2</v>
      </c>
      <c r="E160" s="18"/>
    </row>
    <row r="161" spans="2:5" x14ac:dyDescent="0.35">
      <c r="B161" s="17">
        <f t="shared" si="10"/>
        <v>4.6800000000000077</v>
      </c>
      <c r="C161" s="18">
        <f t="shared" si="8"/>
        <v>6.9962341432701441E-6</v>
      </c>
      <c r="D161" s="18">
        <f t="shared" si="9"/>
        <v>3.6703406290828182E-2</v>
      </c>
      <c r="E161" s="18"/>
    </row>
    <row r="162" spans="2:5" x14ac:dyDescent="0.35">
      <c r="B162" s="17">
        <f t="shared" si="10"/>
        <v>4.7600000000000078</v>
      </c>
      <c r="C162" s="18">
        <f t="shared" si="8"/>
        <v>4.7959510215523421E-6</v>
      </c>
      <c r="D162" s="18">
        <f t="shared" si="9"/>
        <v>3.4071783050522046E-2</v>
      </c>
      <c r="E162" s="18"/>
    </row>
    <row r="163" spans="2:5" x14ac:dyDescent="0.35">
      <c r="B163" s="17">
        <f t="shared" si="10"/>
        <v>4.8400000000000079</v>
      </c>
      <c r="C163" s="18">
        <f t="shared" si="8"/>
        <v>3.2666729639931473E-6</v>
      </c>
      <c r="D163" s="18">
        <f t="shared" si="9"/>
        <v>3.1578280717599091E-2</v>
      </c>
      <c r="E163" s="18"/>
    </row>
    <row r="164" spans="2:5" x14ac:dyDescent="0.35">
      <c r="B164" s="17">
        <f t="shared" si="10"/>
        <v>4.9200000000000079</v>
      </c>
      <c r="C164" s="18">
        <f t="shared" si="8"/>
        <v>2.2108388745683348E-6</v>
      </c>
      <c r="D164" s="18">
        <f t="shared" si="9"/>
        <v>2.9220472166725502E-2</v>
      </c>
      <c r="E164" s="18"/>
    </row>
    <row r="165" spans="2:5" x14ac:dyDescent="0.35">
      <c r="B165" s="17">
        <f t="shared" si="10"/>
        <v>5.000000000000008</v>
      </c>
      <c r="C165" s="18">
        <f t="shared" si="8"/>
        <v>1.4867195147342397E-6</v>
      </c>
      <c r="D165" s="18">
        <f t="shared" si="9"/>
        <v>2.6995483256593813E-2</v>
      </c>
      <c r="E165" s="18"/>
    </row>
    <row r="166" spans="2:5" x14ac:dyDescent="0.35">
      <c r="B166" s="17">
        <f t="shared" si="10"/>
        <v>5.0800000000000081</v>
      </c>
      <c r="C166" s="18">
        <f t="shared" si="8"/>
        <v>9.9339394133987137E-7</v>
      </c>
      <c r="D166" s="18">
        <f t="shared" si="9"/>
        <v>2.4900043867535176E-2</v>
      </c>
      <c r="E166" s="18"/>
    </row>
    <row r="167" spans="2:5" x14ac:dyDescent="0.35">
      <c r="B167" s="17">
        <f t="shared" si="10"/>
        <v>5.1600000000000081</v>
      </c>
      <c r="C167" s="18">
        <f t="shared" si="8"/>
        <v>6.5952989685749467E-7</v>
      </c>
      <c r="D167" s="18">
        <f t="shared" si="9"/>
        <v>2.2930538135527249E-2</v>
      </c>
      <c r="E167" s="18"/>
    </row>
    <row r="168" spans="2:5" x14ac:dyDescent="0.35">
      <c r="B168" s="17">
        <f t="shared" si="10"/>
        <v>5.2400000000000082</v>
      </c>
      <c r="C168" s="18">
        <f t="shared" si="8"/>
        <v>4.3507886075149313E-7</v>
      </c>
      <c r="D168" s="18">
        <f t="shared" si="9"/>
        <v>2.1083053480884975E-2</v>
      </c>
      <c r="E168" s="18"/>
    </row>
    <row r="169" spans="2:5" x14ac:dyDescent="0.35">
      <c r="B169" s="17">
        <f t="shared" si="10"/>
        <v>5.3200000000000083</v>
      </c>
      <c r="C169" s="18">
        <f t="shared" si="8"/>
        <v>2.8518192322838544E-7</v>
      </c>
      <c r="D169" s="18">
        <f t="shared" si="9"/>
        <v>1.9353428073727631E-2</v>
      </c>
      <c r="E169" s="18"/>
    </row>
    <row r="170" spans="2:5" x14ac:dyDescent="0.35">
      <c r="B170" s="17">
        <f t="shared" si="10"/>
        <v>5.4000000000000083</v>
      </c>
      <c r="C170" s="18">
        <f t="shared" si="8"/>
        <v>1.8573618445552105E-7</v>
      </c>
      <c r="D170" s="18">
        <f t="shared" si="9"/>
        <v>1.7737296423115553E-2</v>
      </c>
      <c r="E170" s="18"/>
    </row>
    <row r="171" spans="2:5" x14ac:dyDescent="0.35">
      <c r="B171" s="17">
        <f t="shared" si="10"/>
        <v>5.4800000000000084</v>
      </c>
      <c r="C171" s="18">
        <f t="shared" si="8"/>
        <v>1.2019642790627696E-7</v>
      </c>
      <c r="D171" s="18">
        <f t="shared" si="9"/>
        <v>1.6230132821848577E-2</v>
      </c>
      <c r="E171" s="18"/>
    </row>
    <row r="172" spans="2:5" x14ac:dyDescent="0.35">
      <c r="B172" s="17">
        <f t="shared" si="10"/>
        <v>5.5600000000000085</v>
      </c>
      <c r="C172" s="18">
        <f t="shared" si="8"/>
        <v>7.7287118885225359E-8</v>
      </c>
      <c r="D172" s="18">
        <f t="shared" si="9"/>
        <v>1.4827292423670495E-2</v>
      </c>
      <c r="E172" s="18"/>
    </row>
    <row r="173" spans="2:5" x14ac:dyDescent="0.35">
      <c r="B173" s="17">
        <f t="shared" si="10"/>
        <v>5.6400000000000086</v>
      </c>
      <c r="C173" s="18">
        <f t="shared" si="8"/>
        <v>4.9379102271102028E-8</v>
      </c>
      <c r="D173" s="18">
        <f t="shared" si="9"/>
        <v>1.3524049773440756E-2</v>
      </c>
      <c r="E173" s="18"/>
    </row>
    <row r="174" spans="2:5" x14ac:dyDescent="0.35">
      <c r="B174" s="17">
        <f t="shared" si="10"/>
        <v>5.7200000000000086</v>
      </c>
      <c r="C174" s="18">
        <f t="shared" si="8"/>
        <v>3.1347273817918122E-8</v>
      </c>
      <c r="D174" s="18">
        <f t="shared" si="9"/>
        <v>1.2315634653191122E-2</v>
      </c>
      <c r="E174" s="18"/>
    </row>
    <row r="175" spans="2:5" x14ac:dyDescent="0.35">
      <c r="B175" s="17">
        <f t="shared" si="10"/>
        <v>5.8000000000000087</v>
      </c>
      <c r="C175" s="18">
        <f t="shared" si="8"/>
        <v>1.9773196406243689E-8</v>
      </c>
      <c r="D175" s="18">
        <f t="shared" si="9"/>
        <v>1.119726514742133E-2</v>
      </c>
      <c r="E175" s="18"/>
    </row>
    <row r="176" spans="2:5" x14ac:dyDescent="0.35">
      <c r="B176" s="17">
        <f t="shared" ref="B176:B207" si="11">B175+$A$16</f>
        <v>5.8800000000000088</v>
      </c>
      <c r="C176" s="18">
        <f t="shared" si="8"/>
        <v>1.2392944314149468E-8</v>
      </c>
      <c r="D176" s="18">
        <f t="shared" si="9"/>
        <v>1.0164177869112809E-2</v>
      </c>
      <c r="E176" s="18"/>
    </row>
    <row r="177" spans="2:5" x14ac:dyDescent="0.35">
      <c r="B177" s="17">
        <f t="shared" si="11"/>
        <v>5.9600000000000088</v>
      </c>
      <c r="C177" s="18">
        <f t="shared" si="8"/>
        <v>7.7177842125701169E-9</v>
      </c>
      <c r="D177" s="18">
        <f t="shared" si="9"/>
        <v>9.2116553234309253E-3</v>
      </c>
      <c r="E177" s="18"/>
    </row>
    <row r="178" spans="2:5" x14ac:dyDescent="0.35">
      <c r="B178" s="17">
        <f t="shared" si="11"/>
        <v>6.0400000000000089</v>
      </c>
      <c r="C178" s="18">
        <f t="shared" si="8"/>
        <v>4.7756366922820211E-9</v>
      </c>
      <c r="D178" s="18">
        <f t="shared" si="9"/>
        <v>8.3350504186904349E-3</v>
      </c>
      <c r="E178" s="18"/>
    </row>
    <row r="179" spans="2:5" x14ac:dyDescent="0.35">
      <c r="B179" s="17">
        <f t="shared" si="11"/>
        <v>6.120000000000009</v>
      </c>
      <c r="C179" s="18">
        <f t="shared" si="8"/>
        <v>2.9362325198237642E-9</v>
      </c>
      <c r="D179" s="18">
        <f t="shared" si="9"/>
        <v>7.5298081636886388E-3</v>
      </c>
      <c r="E179" s="18"/>
    </row>
    <row r="180" spans="2:5" x14ac:dyDescent="0.35">
      <c r="B180" s="17">
        <f t="shared" si="11"/>
        <v>6.2000000000000091</v>
      </c>
      <c r="C180" s="18">
        <f t="shared" si="8"/>
        <v>1.7937839079639841E-9</v>
      </c>
      <c r="D180" s="18">
        <f t="shared" si="9"/>
        <v>6.7914846168427275E-3</v>
      </c>
      <c r="E180" s="18"/>
    </row>
    <row r="181" spans="2:5" x14ac:dyDescent="0.35">
      <c r="B181" s="17">
        <f t="shared" si="11"/>
        <v>6.2800000000000091</v>
      </c>
      <c r="C181" s="18">
        <f t="shared" si="8"/>
        <v>1.088855673277002E-9</v>
      </c>
      <c r="D181" s="18">
        <f t="shared" si="9"/>
        <v>6.1157631756389146E-3</v>
      </c>
      <c r="E181" s="18"/>
    </row>
    <row r="182" spans="2:5" x14ac:dyDescent="0.35">
      <c r="B182" s="17">
        <f t="shared" si="11"/>
        <v>6.3600000000000092</v>
      </c>
      <c r="C182" s="18">
        <f t="shared" si="8"/>
        <v>6.5673630963607057E-10</v>
      </c>
      <c r="D182" s="18">
        <f t="shared" si="9"/>
        <v>5.4984683147027225E-3</v>
      </c>
      <c r="E182" s="18"/>
    </row>
    <row r="183" spans="2:5" x14ac:dyDescent="0.35">
      <c r="B183" s="17">
        <f t="shared" si="11"/>
        <v>6.4400000000000093</v>
      </c>
      <c r="C183" s="18">
        <f t="shared" si="8"/>
        <v>3.935793040901202E-10</v>
      </c>
      <c r="D183" s="18">
        <f t="shared" si="9"/>
        <v>4.9355768973755069E-3</v>
      </c>
      <c r="E183" s="18"/>
    </row>
    <row r="184" spans="2:5" x14ac:dyDescent="0.35">
      <c r="B184" s="17">
        <f t="shared" si="11"/>
        <v>6.5200000000000093</v>
      </c>
      <c r="C184" s="18">
        <f t="shared" si="8"/>
        <v>2.3436566877930577E-10</v>
      </c>
      <c r="D184" s="18">
        <f t="shared" si="9"/>
        <v>4.423227199118555E-3</v>
      </c>
      <c r="E184" s="18"/>
    </row>
    <row r="185" spans="2:5" x14ac:dyDescent="0.35">
      <c r="B185" s="17">
        <f t="shared" si="11"/>
        <v>6.6000000000000094</v>
      </c>
      <c r="C185" s="18">
        <f t="shared" si="8"/>
        <v>1.3866799941652283E-10</v>
      </c>
      <c r="D185" s="18">
        <f t="shared" si="9"/>
        <v>3.9577257914899296E-3</v>
      </c>
      <c r="E185" s="18"/>
    </row>
    <row r="186" spans="2:5" x14ac:dyDescent="0.35">
      <c r="B186" s="17">
        <f t="shared" si="11"/>
        <v>6.6800000000000095</v>
      </c>
      <c r="C186" s="18">
        <f t="shared" si="8"/>
        <v>8.152278752699543E-11</v>
      </c>
      <c r="D186" s="18">
        <f t="shared" si="9"/>
        <v>3.5355524430096771E-3</v>
      </c>
      <c r="E186" s="18"/>
    </row>
    <row r="187" spans="2:5" x14ac:dyDescent="0.35">
      <c r="B187" s="17">
        <f t="shared" si="11"/>
        <v>6.7600000000000096</v>
      </c>
      <c r="C187" s="18">
        <f t="shared" si="8"/>
        <v>4.7621416319153522E-11</v>
      </c>
      <c r="D187" s="18">
        <f t="shared" si="9"/>
        <v>3.1533631981329191E-3</v>
      </c>
      <c r="E187" s="18"/>
    </row>
    <row r="188" spans="2:5" x14ac:dyDescent="0.35">
      <c r="B188" s="17">
        <f t="shared" si="11"/>
        <v>6.8400000000000096</v>
      </c>
      <c r="C188" s="18">
        <f t="shared" si="8"/>
        <v>2.7640513661677676E-11</v>
      </c>
      <c r="D188" s="18">
        <f t="shared" si="9"/>
        <v>2.8079917979954446E-3</v>
      </c>
      <c r="E188" s="18"/>
    </row>
    <row r="189" spans="2:5" x14ac:dyDescent="0.35">
      <c r="B189" s="17">
        <f t="shared" si="11"/>
        <v>6.9200000000000097</v>
      </c>
      <c r="C189" s="18">
        <f t="shared" si="8"/>
        <v>1.594081151588281E-11</v>
      </c>
      <c r="D189" s="18">
        <f t="shared" si="9"/>
        <v>2.4964496068061526E-3</v>
      </c>
      <c r="E189" s="18"/>
    </row>
    <row r="190" spans="2:5" x14ac:dyDescent="0.35">
      <c r="B190" s="17">
        <f t="shared" si="11"/>
        <v>7.0000000000000098</v>
      </c>
      <c r="C190" s="18">
        <f t="shared" si="8"/>
        <v>9.1347204083639765E-12</v>
      </c>
      <c r="D190" s="18">
        <f t="shared" si="9"/>
        <v>2.2159242059689721E-3</v>
      </c>
      <c r="E190" s="18"/>
    </row>
    <row r="191" spans="2:5" x14ac:dyDescent="0.35">
      <c r="B191" s="17">
        <f t="shared" si="11"/>
        <v>7.0800000000000098</v>
      </c>
      <c r="C191" s="18">
        <f t="shared" si="8"/>
        <v>5.20116470752682E-12</v>
      </c>
      <c r="D191" s="18">
        <f t="shared" si="9"/>
        <v>1.9637768144623599E-3</v>
      </c>
      <c r="E191" s="18"/>
    </row>
    <row r="192" spans="2:5" x14ac:dyDescent="0.35">
      <c r="B192" s="17">
        <f t="shared" si="11"/>
        <v>7.1600000000000099</v>
      </c>
      <c r="C192" s="18">
        <f t="shared" si="8"/>
        <v>2.9425677446964943E-12</v>
      </c>
      <c r="D192" s="18">
        <f t="shared" si="9"/>
        <v>1.7375386889274429E-3</v>
      </c>
      <c r="E192" s="18"/>
    </row>
    <row r="193" spans="2:5" x14ac:dyDescent="0.35">
      <c r="B193" s="17">
        <f t="shared" si="11"/>
        <v>7.24000000000001</v>
      </c>
      <c r="C193" s="18">
        <f t="shared" si="8"/>
        <v>1.6541422271609854E-12</v>
      </c>
      <c r="D193" s="18">
        <f t="shared" si="9"/>
        <v>1.534906650552347E-3</v>
      </c>
      <c r="E193" s="18"/>
    </row>
    <row r="194" spans="2:5" x14ac:dyDescent="0.35">
      <c r="B194" s="17">
        <f t="shared" si="11"/>
        <v>7.3200000000000101</v>
      </c>
      <c r="C194" s="18">
        <f t="shared" si="8"/>
        <v>9.2393143256359462E-13</v>
      </c>
      <c r="D194" s="18">
        <f t="shared" si="9"/>
        <v>1.3537378784203296E-3</v>
      </c>
      <c r="E194" s="18"/>
    </row>
    <row r="195" spans="2:5" x14ac:dyDescent="0.35">
      <c r="B195" s="17">
        <f t="shared" si="11"/>
        <v>7.4000000000000101</v>
      </c>
      <c r="C195" s="18">
        <f t="shared" si="8"/>
        <v>5.1277536367962984E-13</v>
      </c>
      <c r="D195" s="18">
        <f t="shared" si="9"/>
        <v>1.1920441007324022E-3</v>
      </c>
      <c r="E195" s="18"/>
    </row>
    <row r="196" spans="2:5" x14ac:dyDescent="0.35">
      <c r="B196" s="17">
        <f t="shared" si="11"/>
        <v>7.4800000000000102</v>
      </c>
      <c r="C196" s="18">
        <f t="shared" si="8"/>
        <v>2.8277113542206153E-13</v>
      </c>
      <c r="D196" s="18">
        <f t="shared" si="9"/>
        <v>1.0479853064289551E-3</v>
      </c>
      <c r="E196" s="18"/>
    </row>
    <row r="197" spans="2:5" x14ac:dyDescent="0.35">
      <c r="B197" s="17">
        <f t="shared" si="11"/>
        <v>7.5600000000000103</v>
      </c>
      <c r="C197" s="18">
        <f t="shared" si="8"/>
        <v>1.5493998706284821E-13</v>
      </c>
      <c r="D197" s="18">
        <f t="shared" si="9"/>
        <v>9.1986309041212412E-4</v>
      </c>
      <c r="E197" s="18"/>
    </row>
    <row r="198" spans="2:5" x14ac:dyDescent="0.35">
      <c r="B198" s="17">
        <f t="shared" si="11"/>
        <v>7.6400000000000103</v>
      </c>
      <c r="C198" s="18">
        <f t="shared" si="8"/>
        <v>8.4355318664098694E-14</v>
      </c>
      <c r="D198" s="18">
        <f t="shared" si="9"/>
        <v>8.06113735988548E-4</v>
      </c>
      <c r="E198" s="18"/>
    </row>
    <row r="199" spans="2:5" x14ac:dyDescent="0.35">
      <c r="B199" s="17">
        <f t="shared" si="11"/>
        <v>7.7200000000000104</v>
      </c>
      <c r="C199" s="18">
        <f t="shared" si="8"/>
        <v>4.5633306778375222E-14</v>
      </c>
      <c r="D199" s="18">
        <f t="shared" si="9"/>
        <v>7.0530112847067927E-4</v>
      </c>
      <c r="E199" s="18"/>
    </row>
    <row r="200" spans="2:5" x14ac:dyDescent="0.35">
      <c r="B200" s="17">
        <f t="shared" si="11"/>
        <v>7.8000000000000105</v>
      </c>
      <c r="C200" s="18">
        <f t="shared" si="8"/>
        <v>2.4528552856962235E-14</v>
      </c>
      <c r="D200" s="18">
        <f t="shared" si="9"/>
        <v>6.1610958423649847E-4</v>
      </c>
      <c r="E200" s="18"/>
    </row>
    <row r="201" spans="2:5" x14ac:dyDescent="0.35">
      <c r="B201" s="17">
        <f t="shared" si="11"/>
        <v>7.8800000000000106</v>
      </c>
      <c r="C201" s="18">
        <f t="shared" si="8"/>
        <v>1.3100335776937822E-14</v>
      </c>
      <c r="D201" s="18">
        <f t="shared" si="9"/>
        <v>5.3733667007685774E-4</v>
      </c>
      <c r="E201" s="18"/>
    </row>
    <row r="202" spans="2:5" x14ac:dyDescent="0.35">
      <c r="B202" s="17">
        <f t="shared" si="11"/>
        <v>7.9600000000000106</v>
      </c>
      <c r="C202" s="18">
        <f t="shared" si="8"/>
        <v>6.9520589097098071E-15</v>
      </c>
      <c r="D202" s="18">
        <f t="shared" si="9"/>
        <v>4.6788607846373116E-4</v>
      </c>
      <c r="E202" s="18"/>
    </row>
    <row r="203" spans="2:5" x14ac:dyDescent="0.35">
      <c r="B203" s="17">
        <f t="shared" si="11"/>
        <v>8.0400000000000098</v>
      </c>
      <c r="C203" s="18">
        <f t="shared" si="8"/>
        <v>3.6657679945909811E-15</v>
      </c>
      <c r="D203" s="18">
        <f t="shared" si="9"/>
        <v>4.0676061554089694E-4</v>
      </c>
      <c r="E203" s="18"/>
    </row>
    <row r="204" spans="2:5" x14ac:dyDescent="0.35">
      <c r="B204" s="17">
        <f t="shared" si="11"/>
        <v>8.1200000000000099</v>
      </c>
      <c r="C204" s="18">
        <f t="shared" si="8"/>
        <v>1.9206004311443907E-15</v>
      </c>
      <c r="D204" s="18">
        <f t="shared" si="9"/>
        <v>3.5305535024401181E-4</v>
      </c>
      <c r="E204" s="18"/>
    </row>
    <row r="205" spans="2:5" x14ac:dyDescent="0.35">
      <c r="B205" s="17">
        <f t="shared" si="11"/>
        <v>8.2000000000000099</v>
      </c>
      <c r="C205" s="18">
        <f t="shared" si="8"/>
        <v>9.9983787484963254E-16</v>
      </c>
      <c r="D205" s="18">
        <f t="shared" si="9"/>
        <v>3.0595096505688053E-4</v>
      </c>
      <c r="E205" s="18"/>
    </row>
    <row r="206" spans="2:5" x14ac:dyDescent="0.35">
      <c r="B206" s="17">
        <f t="shared" si="11"/>
        <v>8.28000000000001</v>
      </c>
      <c r="C206" s="18">
        <f t="shared" si="8"/>
        <v>5.1718111933301017E-16</v>
      </c>
      <c r="D206" s="18">
        <f t="shared" si="9"/>
        <v>2.6470734154746266E-4</v>
      </c>
      <c r="E206" s="18"/>
    </row>
    <row r="207" spans="2:5" x14ac:dyDescent="0.35">
      <c r="B207" s="17">
        <f t="shared" si="11"/>
        <v>8.3600000000000101</v>
      </c>
      <c r="C207" s="18">
        <f t="shared" ref="C207:C215" si="12">_xlfn.NORM.DIST($B207,muA,sigmaA,FALSE)</f>
        <v>2.6581302303291584E-16</v>
      </c>
      <c r="D207" s="18">
        <f t="shared" ref="D207:D215" si="13">_xlfn.NORM.DIST($B207,muB,sigmaB,FALSE)</f>
        <v>2.2865740702992415E-4</v>
      </c>
      <c r="E207" s="18"/>
    </row>
    <row r="208" spans="2:5" x14ac:dyDescent="0.35">
      <c r="B208" s="17">
        <f t="shared" ref="B208:B214" si="14">B207+$A$16</f>
        <v>8.4400000000000102</v>
      </c>
      <c r="C208" s="18">
        <f t="shared" si="12"/>
        <v>1.357470382217088E-16</v>
      </c>
      <c r="D208" s="18">
        <f t="shared" si="13"/>
        <v>1.9720126248457461E-4</v>
      </c>
      <c r="E208" s="18"/>
    </row>
    <row r="209" spans="2:5" x14ac:dyDescent="0.35">
      <c r="B209" s="17">
        <f t="shared" si="14"/>
        <v>8.5200000000000102</v>
      </c>
      <c r="C209" s="18">
        <f t="shared" si="12"/>
        <v>6.8881879111195821E-17</v>
      </c>
      <c r="D209" s="18">
        <f t="shared" si="13"/>
        <v>1.6980060624182408E-4</v>
      </c>
      <c r="E209" s="18"/>
    </row>
    <row r="210" spans="2:5" x14ac:dyDescent="0.35">
      <c r="B210" s="17">
        <f t="shared" si="14"/>
        <v>8.6000000000000103</v>
      </c>
      <c r="C210" s="18">
        <f t="shared" si="12"/>
        <v>3.4729627485658871E-17</v>
      </c>
      <c r="D210" s="18">
        <f t="shared" si="13"/>
        <v>1.4597346289572729E-4</v>
      </c>
      <c r="E210" s="18"/>
    </row>
    <row r="211" spans="2:5" x14ac:dyDescent="0.35">
      <c r="B211" s="17">
        <f t="shared" si="14"/>
        <v>8.6800000000000104</v>
      </c>
      <c r="C211" s="18">
        <f t="shared" si="12"/>
        <v>1.7398659111404616E-17</v>
      </c>
      <c r="D211" s="18">
        <f t="shared" si="13"/>
        <v>1.2528922244542783E-4</v>
      </c>
      <c r="E211" s="18"/>
    </row>
    <row r="212" spans="2:5" x14ac:dyDescent="0.35">
      <c r="B212" s="17">
        <f t="shared" si="14"/>
        <v>8.7600000000000104</v>
      </c>
      <c r="C212" s="18">
        <f t="shared" si="12"/>
        <v>8.6606791274923575E-18</v>
      </c>
      <c r="D212" s="18">
        <f t="shared" si="13"/>
        <v>1.0736399075018131E-4</v>
      </c>
      <c r="E212" s="18"/>
    </row>
    <row r="213" spans="2:5" x14ac:dyDescent="0.35">
      <c r="B213" s="17">
        <f t="shared" si="14"/>
        <v>8.8400000000000105</v>
      </c>
      <c r="C213" s="18">
        <f t="shared" si="12"/>
        <v>4.2835972719622515E-18</v>
      </c>
      <c r="D213" s="18">
        <f t="shared" si="13"/>
        <v>9.1856249001226589E-5</v>
      </c>
      <c r="E213" s="18"/>
    </row>
    <row r="214" spans="2:5" x14ac:dyDescent="0.35">
      <c r="B214" s="17">
        <f t="shared" si="14"/>
        <v>8.9200000000000106</v>
      </c>
      <c r="C214" s="18">
        <f t="shared" si="12"/>
        <v>2.1051635091806506E-18</v>
      </c>
      <c r="D214" s="18">
        <f t="shared" si="13"/>
        <v>7.8462817032764451E-5</v>
      </c>
      <c r="E214" s="18"/>
    </row>
    <row r="215" spans="2:5" x14ac:dyDescent="0.35">
      <c r="B215" s="7">
        <f>MAX(muA+(4*sigmaA),muB+(4*sigmaB))</f>
        <v>9</v>
      </c>
      <c r="C215" s="18">
        <f t="shared" si="12"/>
        <v>1.0279773571668917E-18</v>
      </c>
      <c r="D215" s="18">
        <f t="shared" si="13"/>
        <v>6.6915112882442684E-5</v>
      </c>
      <c r="E215" s="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3EFB2-938A-496C-81F1-F846528B64B5}">
  <sheetPr codeName="Sheet13"/>
  <dimension ref="A1:P248"/>
  <sheetViews>
    <sheetView zoomScale="60" zoomScaleNormal="60" workbookViewId="0">
      <selection activeCell="A4" sqref="A4"/>
    </sheetView>
  </sheetViews>
  <sheetFormatPr defaultColWidth="8.6328125" defaultRowHeight="14.5" x14ac:dyDescent="0.35"/>
  <cols>
    <col min="1" max="1" width="16.6328125" style="73" customWidth="1"/>
    <col min="2" max="4" width="8.6328125" style="58"/>
    <col min="5" max="8" width="8.6328125" style="1"/>
    <col min="9" max="9" width="9.54296875" style="1" customWidth="1"/>
    <col min="10" max="10" width="9.36328125" style="1" customWidth="1"/>
    <col min="11" max="11" width="8.36328125" style="1" customWidth="1"/>
    <col min="12" max="16384" width="8.6328125" style="1"/>
  </cols>
  <sheetData>
    <row r="1" spans="1:16" s="37" customFormat="1" ht="26" x14ac:dyDescent="0.6">
      <c r="A1" s="71" t="s">
        <v>35</v>
      </c>
      <c r="B1" s="57"/>
      <c r="C1" s="57"/>
      <c r="D1" s="57"/>
    </row>
    <row r="3" spans="1:16" x14ac:dyDescent="0.35">
      <c r="A3" s="72"/>
      <c r="B3" s="70" t="s">
        <v>12</v>
      </c>
      <c r="C3" s="70" t="s">
        <v>11</v>
      </c>
      <c r="D3" s="70" t="s">
        <v>13</v>
      </c>
      <c r="F3" s="45" t="s">
        <v>12</v>
      </c>
      <c r="G3" s="41"/>
      <c r="H3" s="41"/>
      <c r="I3" s="41"/>
      <c r="J3" s="42"/>
      <c r="P3" s="56">
        <v>0</v>
      </c>
    </row>
    <row r="4" spans="1:16" x14ac:dyDescent="0.35">
      <c r="A4" s="72" t="s">
        <v>14</v>
      </c>
      <c r="B4" s="59">
        <f>MIN(B9:B248)</f>
        <v>-3.7509999999999999</v>
      </c>
      <c r="C4" s="59">
        <f>MIN(C9:C248)</f>
        <v>-7.4740000000000002</v>
      </c>
      <c r="D4" s="59">
        <f>MIN(D9:D248)</f>
        <v>-16.297999999999998</v>
      </c>
      <c r="F4" s="40"/>
      <c r="G4" s="41"/>
      <c r="H4" s="41"/>
      <c r="I4" s="61" t="s">
        <v>38</v>
      </c>
      <c r="J4" s="62">
        <f>_xlfn.NORM.DIST(VLOOKUP(MAX(K6:K19),K6:L19,2,FALSE),$B$6,$B$7,0)</f>
        <v>0.28800316691101563</v>
      </c>
      <c r="K4" s="79" t="s">
        <v>51</v>
      </c>
    </row>
    <row r="5" spans="1:16" x14ac:dyDescent="0.35">
      <c r="A5" s="72" t="s">
        <v>15</v>
      </c>
      <c r="B5" s="59">
        <f>MAX(B9:B248)</f>
        <v>5.3769999999999998</v>
      </c>
      <c r="C5" s="59">
        <f>MAX(C9:C248)</f>
        <v>5.641</v>
      </c>
      <c r="D5" s="59">
        <f>MAX(D9:D248)</f>
        <v>11.465999999999999</v>
      </c>
      <c r="F5" s="15" t="s">
        <v>16</v>
      </c>
      <c r="G5" s="15" t="s">
        <v>17</v>
      </c>
      <c r="H5" s="15" t="s">
        <v>18</v>
      </c>
      <c r="I5" s="15" t="s">
        <v>49</v>
      </c>
      <c r="J5" s="15" t="s">
        <v>34</v>
      </c>
      <c r="K5" s="43" t="s">
        <v>39</v>
      </c>
    </row>
    <row r="6" spans="1:16" x14ac:dyDescent="0.35">
      <c r="A6" s="72" t="s">
        <v>1</v>
      </c>
      <c r="B6" s="59">
        <f>AVERAGE(B9:B248)</f>
        <v>0.22782916666666669</v>
      </c>
      <c r="C6" s="59">
        <f>AVERAGE(C9:C248)</f>
        <v>0.35406666666666659</v>
      </c>
      <c r="D6" s="59">
        <f>AVERAGE(D9:D248)</f>
        <v>0.56096250000000003</v>
      </c>
      <c r="F6" s="16">
        <v>-7.5</v>
      </c>
      <c r="G6" s="16">
        <v>-6.5</v>
      </c>
      <c r="H6" s="38"/>
      <c r="I6" s="38"/>
      <c r="J6" s="39">
        <f>_xlfn.NORM.DIST(H6,$B$6,$B$7,0)*MAX($I$6:$I$19)/$J$4</f>
        <v>0</v>
      </c>
      <c r="K6" s="44">
        <f t="shared" ref="K6:K19" si="0">_xlfn.NORM.DIST(H6,$B$6,$B$7,0)</f>
        <v>0.28800316691101563</v>
      </c>
      <c r="L6" s="80">
        <f>H6</f>
        <v>0</v>
      </c>
    </row>
    <row r="7" spans="1:16" x14ac:dyDescent="0.35">
      <c r="A7" s="72" t="s">
        <v>2</v>
      </c>
      <c r="B7" s="59">
        <f>STDEV(B9:B248)</f>
        <v>1.3660699547685982</v>
      </c>
      <c r="C7" s="59">
        <f>STDEV(C9:C248)</f>
        <v>1.8188278271988885</v>
      </c>
      <c r="D7" s="59">
        <f>STDEV(D9:D248)</f>
        <v>2.6192621646736298</v>
      </c>
      <c r="F7" s="16">
        <f>G6</f>
        <v>-6.5</v>
      </c>
      <c r="G7" s="16">
        <f>F7+(G6-F6)</f>
        <v>-5.5</v>
      </c>
      <c r="H7" s="38"/>
      <c r="I7" s="38"/>
      <c r="J7" s="39">
        <f t="shared" ref="J7:J19" si="1">_xlfn.NORM.DIST(H7,$B$6,$B$7,0)*MAX($I$6:$I$19)/$J$4</f>
        <v>0</v>
      </c>
      <c r="K7" s="44">
        <f t="shared" si="0"/>
        <v>0.28800316691101563</v>
      </c>
      <c r="L7" s="80">
        <f t="shared" ref="L7:L19" si="2">H7</f>
        <v>0</v>
      </c>
    </row>
    <row r="8" spans="1:16" x14ac:dyDescent="0.35">
      <c r="F8" s="16">
        <f t="shared" ref="F8:F19" si="3">G7</f>
        <v>-5.5</v>
      </c>
      <c r="G8" s="16">
        <f t="shared" ref="G8:G19" si="4">F8+(G7-F7)</f>
        <v>-4.5</v>
      </c>
      <c r="H8" s="38"/>
      <c r="I8" s="38"/>
      <c r="J8" s="39">
        <f t="shared" si="1"/>
        <v>0</v>
      </c>
      <c r="K8" s="44">
        <f t="shared" si="0"/>
        <v>0.28800316691101563</v>
      </c>
      <c r="L8" s="80">
        <f t="shared" si="2"/>
        <v>0</v>
      </c>
    </row>
    <row r="9" spans="1:16" x14ac:dyDescent="0.35">
      <c r="A9" s="74">
        <v>38625</v>
      </c>
      <c r="B9" s="60">
        <v>-1.3149999999999999</v>
      </c>
      <c r="C9" s="60">
        <v>-1.5820000000000001</v>
      </c>
      <c r="D9" s="59">
        <v>-1.0009999999999999</v>
      </c>
      <c r="F9" s="16">
        <f t="shared" si="3"/>
        <v>-4.5</v>
      </c>
      <c r="G9" s="16">
        <f t="shared" si="4"/>
        <v>-3.5</v>
      </c>
      <c r="H9" s="38"/>
      <c r="I9" s="38"/>
      <c r="J9" s="39">
        <f t="shared" si="1"/>
        <v>0</v>
      </c>
      <c r="K9" s="44">
        <f t="shared" si="0"/>
        <v>0.28800316691101563</v>
      </c>
      <c r="L9" s="80">
        <f t="shared" si="2"/>
        <v>0</v>
      </c>
    </row>
    <row r="10" spans="1:16" x14ac:dyDescent="0.35">
      <c r="A10" s="74">
        <v>38656</v>
      </c>
      <c r="B10" s="60">
        <v>-0.76100000000000001</v>
      </c>
      <c r="C10" s="60">
        <v>-1.0289999999999999</v>
      </c>
      <c r="D10" s="59">
        <v>-0.72899999999999998</v>
      </c>
      <c r="F10" s="16">
        <f t="shared" si="3"/>
        <v>-3.5</v>
      </c>
      <c r="G10" s="16">
        <f t="shared" si="4"/>
        <v>-2.5</v>
      </c>
      <c r="H10" s="38"/>
      <c r="I10" s="38"/>
      <c r="J10" s="39">
        <f t="shared" si="1"/>
        <v>0</v>
      </c>
      <c r="K10" s="44">
        <f t="shared" si="0"/>
        <v>0.28800316691101563</v>
      </c>
      <c r="L10" s="80">
        <f t="shared" si="2"/>
        <v>0</v>
      </c>
    </row>
    <row r="11" spans="1:16" x14ac:dyDescent="0.35">
      <c r="A11" s="74">
        <v>38686</v>
      </c>
      <c r="B11" s="60">
        <v>0.47699999999999998</v>
      </c>
      <c r="C11" s="60">
        <v>0.53600000000000003</v>
      </c>
      <c r="D11" s="59">
        <v>0.48199999999999998</v>
      </c>
      <c r="F11" s="16">
        <f t="shared" si="3"/>
        <v>-2.5</v>
      </c>
      <c r="G11" s="16">
        <f t="shared" si="4"/>
        <v>-1.5</v>
      </c>
      <c r="H11" s="38"/>
      <c r="I11" s="38"/>
      <c r="J11" s="39">
        <f t="shared" si="1"/>
        <v>0</v>
      </c>
      <c r="K11" s="44">
        <f t="shared" si="0"/>
        <v>0.28800316691101563</v>
      </c>
      <c r="L11" s="80">
        <f t="shared" si="2"/>
        <v>0</v>
      </c>
    </row>
    <row r="12" spans="1:16" x14ac:dyDescent="0.35">
      <c r="A12" s="74">
        <v>38717</v>
      </c>
      <c r="B12" s="60">
        <v>1.0169999999999999</v>
      </c>
      <c r="C12" s="60">
        <v>0.99</v>
      </c>
      <c r="D12" s="59">
        <v>0.91600000000000004</v>
      </c>
      <c r="F12" s="16">
        <f t="shared" si="3"/>
        <v>-1.5</v>
      </c>
      <c r="G12" s="16">
        <f t="shared" si="4"/>
        <v>-0.5</v>
      </c>
      <c r="H12" s="38"/>
      <c r="I12" s="38"/>
      <c r="J12" s="39">
        <f t="shared" si="1"/>
        <v>0</v>
      </c>
      <c r="K12" s="44">
        <f t="shared" si="0"/>
        <v>0.28800316691101563</v>
      </c>
      <c r="L12" s="80">
        <f t="shared" si="2"/>
        <v>0</v>
      </c>
    </row>
    <row r="13" spans="1:16" x14ac:dyDescent="0.35">
      <c r="A13" s="74">
        <v>38748</v>
      </c>
      <c r="B13" s="60">
        <v>-0.27700000000000002</v>
      </c>
      <c r="C13" s="60">
        <v>-0.21</v>
      </c>
      <c r="D13" s="59">
        <v>1.585</v>
      </c>
      <c r="F13" s="16">
        <f t="shared" si="3"/>
        <v>-0.5</v>
      </c>
      <c r="G13" s="16">
        <f t="shared" si="4"/>
        <v>0.5</v>
      </c>
      <c r="H13" s="38"/>
      <c r="I13" s="38"/>
      <c r="J13" s="39">
        <f t="shared" si="1"/>
        <v>0</v>
      </c>
      <c r="K13" s="44">
        <f t="shared" si="0"/>
        <v>0.28800316691101563</v>
      </c>
      <c r="L13" s="80">
        <f t="shared" si="2"/>
        <v>0</v>
      </c>
    </row>
    <row r="14" spans="1:16" x14ac:dyDescent="0.35">
      <c r="A14" s="74">
        <v>38776</v>
      </c>
      <c r="B14" s="60">
        <v>0.159</v>
      </c>
      <c r="C14" s="60">
        <v>0.39800000000000002</v>
      </c>
      <c r="D14" s="59">
        <v>0.63200000000000001</v>
      </c>
      <c r="F14" s="16">
        <f t="shared" si="3"/>
        <v>0.5</v>
      </c>
      <c r="G14" s="16">
        <f t="shared" si="4"/>
        <v>1.5</v>
      </c>
      <c r="H14" s="38"/>
      <c r="I14" s="38"/>
      <c r="J14" s="39">
        <f t="shared" si="1"/>
        <v>0</v>
      </c>
      <c r="K14" s="44">
        <f t="shared" si="0"/>
        <v>0.28800316691101563</v>
      </c>
      <c r="L14" s="80">
        <f t="shared" si="2"/>
        <v>0</v>
      </c>
    </row>
    <row r="15" spans="1:16" x14ac:dyDescent="0.35">
      <c r="A15" s="74">
        <v>38807</v>
      </c>
      <c r="B15" s="60">
        <v>-1.036</v>
      </c>
      <c r="C15" s="60">
        <v>-1.26</v>
      </c>
      <c r="D15" s="59">
        <v>0.625</v>
      </c>
      <c r="F15" s="16">
        <f t="shared" si="3"/>
        <v>1.5</v>
      </c>
      <c r="G15" s="16">
        <f t="shared" si="4"/>
        <v>2.5</v>
      </c>
      <c r="H15" s="38"/>
      <c r="I15" s="38"/>
      <c r="J15" s="39">
        <f t="shared" si="1"/>
        <v>0</v>
      </c>
      <c r="K15" s="44">
        <f t="shared" si="0"/>
        <v>0.28800316691101563</v>
      </c>
      <c r="L15" s="80">
        <f t="shared" si="2"/>
        <v>0</v>
      </c>
    </row>
    <row r="16" spans="1:16" x14ac:dyDescent="0.35">
      <c r="A16" s="74">
        <v>38837</v>
      </c>
      <c r="B16" s="60">
        <v>-0.41199999999999998</v>
      </c>
      <c r="C16" s="60">
        <v>-0.39700000000000002</v>
      </c>
      <c r="D16" s="59">
        <v>0.64300000000000002</v>
      </c>
      <c r="F16" s="16">
        <f t="shared" si="3"/>
        <v>2.5</v>
      </c>
      <c r="G16" s="16">
        <f t="shared" si="4"/>
        <v>3.5</v>
      </c>
      <c r="H16" s="38"/>
      <c r="I16" s="38"/>
      <c r="J16" s="39">
        <f t="shared" si="1"/>
        <v>0</v>
      </c>
      <c r="K16" s="44">
        <f t="shared" si="0"/>
        <v>0.28800316691101563</v>
      </c>
      <c r="L16" s="80">
        <f t="shared" si="2"/>
        <v>0</v>
      </c>
    </row>
    <row r="17" spans="1:12" x14ac:dyDescent="0.35">
      <c r="A17" s="74">
        <v>38868</v>
      </c>
      <c r="B17" s="60">
        <v>5.2999999999999999E-2</v>
      </c>
      <c r="C17" s="60">
        <v>-0.08</v>
      </c>
      <c r="D17" s="59">
        <v>-6.3E-2</v>
      </c>
      <c r="F17" s="16">
        <f t="shared" si="3"/>
        <v>3.5</v>
      </c>
      <c r="G17" s="16">
        <f t="shared" si="4"/>
        <v>4.5</v>
      </c>
      <c r="H17" s="38"/>
      <c r="I17" s="38"/>
      <c r="J17" s="39">
        <f t="shared" si="1"/>
        <v>0</v>
      </c>
      <c r="K17" s="44">
        <f t="shared" si="0"/>
        <v>0.28800316691101563</v>
      </c>
      <c r="L17" s="80">
        <f t="shared" si="2"/>
        <v>0</v>
      </c>
    </row>
    <row r="18" spans="1:12" x14ac:dyDescent="0.35">
      <c r="A18" s="74">
        <v>38898</v>
      </c>
      <c r="B18" s="60">
        <v>0.315</v>
      </c>
      <c r="C18" s="60">
        <v>7.4999999999999997E-2</v>
      </c>
      <c r="D18" s="59">
        <v>-0.379</v>
      </c>
      <c r="F18" s="16">
        <f t="shared" si="3"/>
        <v>4.5</v>
      </c>
      <c r="G18" s="16">
        <f t="shared" si="4"/>
        <v>5.5</v>
      </c>
      <c r="H18" s="38"/>
      <c r="I18" s="38"/>
      <c r="J18" s="39">
        <f t="shared" si="1"/>
        <v>0</v>
      </c>
      <c r="K18" s="44">
        <f t="shared" si="0"/>
        <v>0.28800316691101563</v>
      </c>
      <c r="L18" s="80">
        <f t="shared" si="2"/>
        <v>0</v>
      </c>
    </row>
    <row r="19" spans="1:12" x14ac:dyDescent="0.35">
      <c r="A19" s="74">
        <v>38929</v>
      </c>
      <c r="B19" s="60">
        <v>1.2150000000000001</v>
      </c>
      <c r="C19" s="60">
        <v>1.482</v>
      </c>
      <c r="D19" s="59">
        <v>1.0669999999999999</v>
      </c>
      <c r="F19" s="16">
        <f t="shared" si="3"/>
        <v>5.5</v>
      </c>
      <c r="G19" s="16">
        <f t="shared" si="4"/>
        <v>6.5</v>
      </c>
      <c r="H19" s="38"/>
      <c r="I19" s="38"/>
      <c r="J19" s="39">
        <f t="shared" si="1"/>
        <v>0</v>
      </c>
      <c r="K19" s="44">
        <f t="shared" si="0"/>
        <v>0.28800316691101563</v>
      </c>
      <c r="L19" s="80">
        <f t="shared" si="2"/>
        <v>0</v>
      </c>
    </row>
    <row r="20" spans="1:12" x14ac:dyDescent="0.35">
      <c r="A20" s="74">
        <v>38960</v>
      </c>
      <c r="B20" s="60">
        <v>1.4650000000000001</v>
      </c>
      <c r="C20" s="60">
        <v>1.87</v>
      </c>
      <c r="D20" s="59">
        <v>1.6180000000000001</v>
      </c>
      <c r="L20" s="80"/>
    </row>
    <row r="21" spans="1:12" x14ac:dyDescent="0.35">
      <c r="A21" s="74">
        <v>38990</v>
      </c>
      <c r="B21" s="60">
        <v>0.91700000000000004</v>
      </c>
      <c r="C21" s="60">
        <v>1.087</v>
      </c>
      <c r="D21" s="59">
        <v>1.3149999999999999</v>
      </c>
      <c r="L21" s="80"/>
    </row>
    <row r="22" spans="1:12" x14ac:dyDescent="0.35">
      <c r="A22" s="74">
        <v>39021</v>
      </c>
      <c r="B22" s="60">
        <v>0.51200000000000001</v>
      </c>
      <c r="C22" s="60">
        <v>0.86199999999999999</v>
      </c>
      <c r="D22" s="59">
        <v>1.46</v>
      </c>
      <c r="F22" s="36"/>
      <c r="L22" s="80"/>
    </row>
    <row r="23" spans="1:12" x14ac:dyDescent="0.35">
      <c r="A23" s="74">
        <v>39051</v>
      </c>
      <c r="B23" s="60">
        <v>1.0389999999999999</v>
      </c>
      <c r="C23" s="60">
        <v>1.4159999999999999</v>
      </c>
      <c r="D23" s="59">
        <v>1.5960000000000001</v>
      </c>
      <c r="I23" s="82"/>
      <c r="J23" s="83"/>
      <c r="L23" s="80"/>
    </row>
    <row r="24" spans="1:12" x14ac:dyDescent="0.35">
      <c r="A24" s="74">
        <v>39082</v>
      </c>
      <c r="B24" s="60">
        <v>-0.82099999999999995</v>
      </c>
      <c r="C24" s="60">
        <v>-0.89800000000000002</v>
      </c>
      <c r="D24" s="59">
        <v>1.101</v>
      </c>
      <c r="F24" s="84"/>
      <c r="G24" s="84"/>
      <c r="H24" s="84"/>
      <c r="I24" s="84"/>
      <c r="J24" s="84"/>
      <c r="K24" s="43"/>
      <c r="L24" s="80"/>
    </row>
    <row r="25" spans="1:12" x14ac:dyDescent="0.35">
      <c r="A25" s="74">
        <v>39113</v>
      </c>
      <c r="B25" s="60">
        <v>-0.153</v>
      </c>
      <c r="C25" s="60">
        <v>3.3000000000000002E-2</v>
      </c>
      <c r="D25" s="59">
        <v>1.0740000000000001</v>
      </c>
      <c r="H25" s="84"/>
      <c r="I25" s="84"/>
      <c r="J25" s="85"/>
      <c r="K25" s="44"/>
      <c r="L25" s="80"/>
    </row>
    <row r="26" spans="1:12" x14ac:dyDescent="0.35">
      <c r="A26" s="74">
        <v>39141</v>
      </c>
      <c r="B26" s="60">
        <v>1.649</v>
      </c>
      <c r="C26" s="60">
        <v>2.0299999999999998</v>
      </c>
      <c r="D26" s="59">
        <v>1.393</v>
      </c>
      <c r="H26" s="84"/>
      <c r="I26" s="84"/>
      <c r="J26" s="85"/>
      <c r="K26" s="44"/>
      <c r="L26" s="80"/>
    </row>
    <row r="27" spans="1:12" x14ac:dyDescent="0.35">
      <c r="A27" s="74">
        <v>39172</v>
      </c>
      <c r="B27" s="60">
        <v>-5.6000000000000001E-2</v>
      </c>
      <c r="C27" s="60">
        <v>-0.48699999999999999</v>
      </c>
      <c r="D27" s="59">
        <v>0.23200000000000001</v>
      </c>
      <c r="H27" s="84"/>
      <c r="I27" s="84"/>
      <c r="J27" s="85"/>
      <c r="K27" s="44"/>
      <c r="L27" s="80"/>
    </row>
    <row r="28" spans="1:12" x14ac:dyDescent="0.35">
      <c r="A28" s="74">
        <v>39202</v>
      </c>
      <c r="B28" s="60">
        <v>0.52500000000000002</v>
      </c>
      <c r="C28" s="60">
        <v>0.74</v>
      </c>
      <c r="D28" s="59">
        <v>1.323</v>
      </c>
      <c r="H28" s="84"/>
      <c r="I28" s="84"/>
      <c r="J28" s="85"/>
      <c r="K28" s="44"/>
      <c r="L28" s="80"/>
    </row>
    <row r="29" spans="1:12" x14ac:dyDescent="0.35">
      <c r="A29" s="74">
        <v>39233</v>
      </c>
      <c r="B29" s="60">
        <v>-0.87</v>
      </c>
      <c r="C29" s="60">
        <v>-0.99</v>
      </c>
      <c r="D29" s="59">
        <v>0.71099999999999997</v>
      </c>
      <c r="H29" s="84"/>
      <c r="I29" s="84"/>
      <c r="J29" s="85"/>
      <c r="K29" s="44"/>
      <c r="L29" s="80"/>
    </row>
    <row r="30" spans="1:12" x14ac:dyDescent="0.35">
      <c r="A30" s="74">
        <v>39263</v>
      </c>
      <c r="B30" s="60">
        <v>-5.1999999999999998E-2</v>
      </c>
      <c r="C30" s="60">
        <v>-0.48</v>
      </c>
      <c r="D30" s="59">
        <v>-1.6850000000000001</v>
      </c>
      <c r="H30" s="84"/>
      <c r="I30" s="84"/>
      <c r="J30" s="85"/>
      <c r="K30" s="44"/>
      <c r="L30" s="80"/>
    </row>
    <row r="31" spans="1:12" x14ac:dyDescent="0.35">
      <c r="A31" s="74">
        <v>39294</v>
      </c>
      <c r="B31" s="60">
        <v>1.66</v>
      </c>
      <c r="C31" s="60">
        <v>0.28499999999999998</v>
      </c>
      <c r="D31" s="59">
        <v>-3.14</v>
      </c>
      <c r="H31" s="84"/>
      <c r="I31" s="84"/>
      <c r="J31" s="85"/>
      <c r="K31" s="44"/>
      <c r="L31" s="80"/>
    </row>
    <row r="32" spans="1:12" x14ac:dyDescent="0.35">
      <c r="A32" s="74">
        <v>39325</v>
      </c>
      <c r="B32" s="60">
        <v>1.5760000000000001</v>
      </c>
      <c r="C32" s="60">
        <v>0.98499999999999999</v>
      </c>
      <c r="D32" s="59">
        <v>1.115</v>
      </c>
      <c r="H32" s="84"/>
      <c r="I32" s="84"/>
      <c r="J32" s="85"/>
      <c r="K32" s="44"/>
      <c r="L32" s="80"/>
    </row>
    <row r="33" spans="1:12" x14ac:dyDescent="0.35">
      <c r="A33" s="74">
        <v>39355</v>
      </c>
      <c r="B33" s="60">
        <v>0.53600000000000003</v>
      </c>
      <c r="C33" s="60">
        <v>0.56100000000000005</v>
      </c>
      <c r="D33" s="59">
        <v>2.444</v>
      </c>
      <c r="H33" s="84"/>
      <c r="I33" s="84"/>
      <c r="J33" s="85"/>
      <c r="K33" s="44"/>
      <c r="L33" s="80"/>
    </row>
    <row r="34" spans="1:12" x14ac:dyDescent="0.35">
      <c r="A34" s="74">
        <v>39386</v>
      </c>
      <c r="B34" s="60">
        <v>0.78500000000000003</v>
      </c>
      <c r="C34" s="60">
        <v>1.087</v>
      </c>
      <c r="D34" s="59">
        <v>0.60599999999999998</v>
      </c>
      <c r="H34" s="84"/>
      <c r="I34" s="84"/>
      <c r="J34" s="85"/>
      <c r="K34" s="44"/>
      <c r="L34" s="80"/>
    </row>
    <row r="35" spans="1:12" x14ac:dyDescent="0.35">
      <c r="A35" s="74">
        <v>39416</v>
      </c>
      <c r="B35" s="60">
        <v>3.0390000000000001</v>
      </c>
      <c r="C35" s="60">
        <v>0.879</v>
      </c>
      <c r="D35" s="59">
        <v>-2.0459999999999998</v>
      </c>
      <c r="H35" s="84"/>
      <c r="I35" s="84"/>
      <c r="J35" s="85"/>
      <c r="K35" s="44"/>
      <c r="L35" s="80"/>
    </row>
    <row r="36" spans="1:12" x14ac:dyDescent="0.35">
      <c r="A36" s="74">
        <v>39447</v>
      </c>
      <c r="B36" s="60">
        <v>0.121</v>
      </c>
      <c r="C36" s="60">
        <v>-5.6000000000000001E-2</v>
      </c>
      <c r="D36" s="59">
        <v>0.29299999999999998</v>
      </c>
      <c r="H36" s="84"/>
      <c r="I36" s="84"/>
      <c r="J36" s="85"/>
      <c r="K36" s="44"/>
      <c r="L36" s="80"/>
    </row>
    <row r="37" spans="1:12" x14ac:dyDescent="0.35">
      <c r="A37" s="74">
        <v>39478</v>
      </c>
      <c r="B37" s="60">
        <v>2.5230000000000001</v>
      </c>
      <c r="C37" s="60">
        <v>1.1819999999999999</v>
      </c>
      <c r="D37" s="59">
        <v>-1.359</v>
      </c>
      <c r="H37" s="84"/>
      <c r="I37" s="84"/>
      <c r="J37" s="85"/>
      <c r="K37" s="44"/>
      <c r="L37" s="80"/>
    </row>
    <row r="38" spans="1:12" x14ac:dyDescent="0.35">
      <c r="A38" s="74">
        <v>39507</v>
      </c>
      <c r="B38" s="60">
        <v>1.087</v>
      </c>
      <c r="C38" s="60">
        <v>7.1999999999999995E-2</v>
      </c>
      <c r="D38" s="59">
        <v>-1.1870000000000001</v>
      </c>
      <c r="H38" s="84"/>
      <c r="I38" s="84"/>
      <c r="J38" s="85"/>
      <c r="K38" s="44"/>
      <c r="L38" s="80"/>
    </row>
    <row r="39" spans="1:12" x14ac:dyDescent="0.35">
      <c r="A39" s="74">
        <v>39538</v>
      </c>
      <c r="B39" s="60">
        <v>0.72499999999999998</v>
      </c>
      <c r="C39" s="60">
        <v>-1.3280000000000001</v>
      </c>
      <c r="D39" s="59">
        <v>-0.51900000000000002</v>
      </c>
      <c r="L39" s="80"/>
    </row>
    <row r="40" spans="1:12" x14ac:dyDescent="0.35">
      <c r="A40" s="74">
        <v>39568</v>
      </c>
      <c r="B40" s="60">
        <v>-1.6950000000000001</v>
      </c>
      <c r="C40" s="60">
        <v>0.57199999999999995</v>
      </c>
      <c r="D40" s="59">
        <v>4.1660000000000004</v>
      </c>
      <c r="L40" s="80"/>
    </row>
    <row r="41" spans="1:12" x14ac:dyDescent="0.35">
      <c r="A41" s="74">
        <v>39599</v>
      </c>
      <c r="B41" s="60">
        <v>-1.2050000000000001</v>
      </c>
      <c r="C41" s="60">
        <v>-0.91</v>
      </c>
      <c r="D41" s="59">
        <v>0.42799999999999999</v>
      </c>
      <c r="F41" s="36"/>
      <c r="L41" s="80"/>
    </row>
    <row r="42" spans="1:12" x14ac:dyDescent="0.35">
      <c r="A42" s="74">
        <v>39629</v>
      </c>
      <c r="B42" s="60">
        <v>0.83399999999999996</v>
      </c>
      <c r="C42" s="60">
        <v>-0.38400000000000001</v>
      </c>
      <c r="D42" s="59">
        <v>-2.68</v>
      </c>
      <c r="I42" s="82"/>
      <c r="J42" s="83"/>
      <c r="K42" s="86"/>
      <c r="L42" s="80"/>
    </row>
    <row r="43" spans="1:12" x14ac:dyDescent="0.35">
      <c r="A43" s="74">
        <v>39660</v>
      </c>
      <c r="B43" s="60">
        <v>0.39900000000000002</v>
      </c>
      <c r="C43" s="60">
        <v>-0.86099999999999999</v>
      </c>
      <c r="D43" s="59">
        <v>-1.603</v>
      </c>
      <c r="F43" s="84"/>
      <c r="G43" s="84"/>
      <c r="H43" s="84"/>
      <c r="I43" s="84"/>
      <c r="J43" s="84"/>
      <c r="K43" s="43"/>
      <c r="L43" s="80"/>
    </row>
    <row r="44" spans="1:12" x14ac:dyDescent="0.35">
      <c r="A44" s="74">
        <v>39691</v>
      </c>
      <c r="B44" s="60">
        <v>1.26</v>
      </c>
      <c r="C44" s="60">
        <v>0.70199999999999996</v>
      </c>
      <c r="D44" s="59">
        <v>0.32300000000000001</v>
      </c>
      <c r="H44" s="84"/>
      <c r="I44" s="84"/>
      <c r="J44" s="85"/>
      <c r="K44" s="44"/>
      <c r="L44" s="80"/>
    </row>
    <row r="45" spans="1:12" x14ac:dyDescent="0.35">
      <c r="A45" s="74">
        <v>39721</v>
      </c>
      <c r="B45" s="60">
        <v>0.65500000000000003</v>
      </c>
      <c r="C45" s="60">
        <v>-7.3369999999999997</v>
      </c>
      <c r="D45" s="59">
        <v>-8.298</v>
      </c>
      <c r="H45" s="84"/>
      <c r="I45" s="84"/>
      <c r="J45" s="85"/>
      <c r="K45" s="44"/>
      <c r="L45" s="80"/>
    </row>
    <row r="46" spans="1:12" x14ac:dyDescent="0.35">
      <c r="A46" s="74">
        <v>39752</v>
      </c>
      <c r="B46" s="60">
        <v>-0.14599999999999999</v>
      </c>
      <c r="C46" s="60">
        <v>-7.3810000000000002</v>
      </c>
      <c r="D46" s="59">
        <v>-16.297999999999998</v>
      </c>
      <c r="H46" s="84"/>
      <c r="I46" s="84"/>
      <c r="J46" s="85"/>
      <c r="K46" s="44"/>
      <c r="L46" s="80"/>
    </row>
    <row r="47" spans="1:12" x14ac:dyDescent="0.35">
      <c r="A47" s="74">
        <v>39782</v>
      </c>
      <c r="B47" s="60">
        <v>5.3769999999999998</v>
      </c>
      <c r="C47" s="60">
        <v>3.879</v>
      </c>
      <c r="D47" s="59">
        <v>-8.4320000000000004</v>
      </c>
      <c r="H47" s="84"/>
      <c r="I47" s="84"/>
      <c r="J47" s="85"/>
      <c r="K47" s="44"/>
      <c r="L47" s="80"/>
    </row>
    <row r="48" spans="1:12" x14ac:dyDescent="0.35">
      <c r="A48" s="74">
        <v>39813</v>
      </c>
      <c r="B48" s="60">
        <v>3.544</v>
      </c>
      <c r="C48" s="60">
        <v>5.5540000000000003</v>
      </c>
      <c r="D48" s="59">
        <v>7.4740000000000002</v>
      </c>
      <c r="H48" s="84"/>
      <c r="I48" s="84"/>
      <c r="J48" s="85"/>
      <c r="K48" s="44"/>
      <c r="L48" s="80"/>
    </row>
    <row r="49" spans="1:12" x14ac:dyDescent="0.35">
      <c r="A49" s="74">
        <v>39844</v>
      </c>
      <c r="B49" s="60">
        <v>-3.081</v>
      </c>
      <c r="C49" s="60">
        <v>0.33300000000000002</v>
      </c>
      <c r="D49" s="59">
        <v>5.3079999999999998</v>
      </c>
      <c r="H49" s="84"/>
      <c r="I49" s="84"/>
      <c r="J49" s="85"/>
      <c r="K49" s="44"/>
      <c r="L49" s="80"/>
    </row>
    <row r="50" spans="1:12" x14ac:dyDescent="0.35">
      <c r="A50" s="74">
        <v>39872</v>
      </c>
      <c r="B50" s="60">
        <v>-0.54400000000000004</v>
      </c>
      <c r="C50" s="60">
        <v>-1.5580000000000001</v>
      </c>
      <c r="D50" s="59">
        <v>-3.4670000000000001</v>
      </c>
      <c r="H50" s="84"/>
      <c r="I50" s="84"/>
      <c r="J50" s="85"/>
      <c r="K50" s="44"/>
      <c r="L50" s="80"/>
    </row>
    <row r="51" spans="1:12" x14ac:dyDescent="0.35">
      <c r="A51" s="74">
        <v>39903</v>
      </c>
      <c r="B51" s="60">
        <v>2.2610000000000001</v>
      </c>
      <c r="C51" s="60">
        <v>-0.20699999999999999</v>
      </c>
      <c r="D51" s="59">
        <v>3.3039999999999998</v>
      </c>
      <c r="H51" s="84"/>
      <c r="I51" s="84"/>
      <c r="J51" s="85"/>
      <c r="K51" s="44"/>
      <c r="L51" s="80"/>
    </row>
    <row r="52" spans="1:12" x14ac:dyDescent="0.35">
      <c r="A52" s="74">
        <v>39933</v>
      </c>
      <c r="B52" s="60">
        <v>-1.899</v>
      </c>
      <c r="C52" s="60">
        <v>3.0840000000000001</v>
      </c>
      <c r="D52" s="59">
        <v>11.465999999999999</v>
      </c>
      <c r="H52" s="84"/>
      <c r="I52" s="84"/>
      <c r="J52" s="85"/>
      <c r="K52" s="44"/>
      <c r="L52" s="80"/>
    </row>
    <row r="53" spans="1:12" x14ac:dyDescent="0.35">
      <c r="A53" s="74">
        <v>39964</v>
      </c>
      <c r="B53" s="60">
        <v>-1.0089999999999999</v>
      </c>
      <c r="C53" s="60">
        <v>4.335</v>
      </c>
      <c r="D53" s="59">
        <v>7.1130000000000004</v>
      </c>
      <c r="H53" s="84"/>
      <c r="I53" s="84"/>
      <c r="J53" s="85"/>
      <c r="K53" s="44"/>
      <c r="L53" s="80"/>
    </row>
    <row r="54" spans="1:12" x14ac:dyDescent="0.35">
      <c r="A54" s="74">
        <v>39994</v>
      </c>
      <c r="B54" s="60">
        <v>-0.19700000000000001</v>
      </c>
      <c r="C54" s="60">
        <v>3.0350000000000001</v>
      </c>
      <c r="D54" s="59">
        <v>3.18</v>
      </c>
      <c r="H54" s="84"/>
      <c r="I54" s="84"/>
      <c r="J54" s="85"/>
      <c r="K54" s="44"/>
      <c r="L54" s="80"/>
    </row>
    <row r="55" spans="1:12" x14ac:dyDescent="0.35">
      <c r="A55" s="74">
        <v>40025</v>
      </c>
      <c r="B55" s="60">
        <v>0.40200000000000002</v>
      </c>
      <c r="C55" s="60">
        <v>3.948</v>
      </c>
      <c r="D55" s="59">
        <v>6.1829999999999998</v>
      </c>
      <c r="H55" s="84"/>
      <c r="I55" s="84"/>
      <c r="J55" s="85"/>
      <c r="K55" s="44"/>
      <c r="L55" s="80"/>
    </row>
    <row r="56" spans="1:12" x14ac:dyDescent="0.35">
      <c r="A56" s="74">
        <v>40056</v>
      </c>
      <c r="B56" s="60">
        <v>0.92900000000000005</v>
      </c>
      <c r="C56" s="60">
        <v>2.1629999999999998</v>
      </c>
      <c r="D56" s="59">
        <v>2.0339999999999998</v>
      </c>
      <c r="H56" s="84"/>
      <c r="I56" s="84"/>
      <c r="J56" s="85"/>
      <c r="K56" s="44"/>
      <c r="L56" s="80"/>
    </row>
    <row r="57" spans="1:12" x14ac:dyDescent="0.35">
      <c r="A57" s="74">
        <v>40086</v>
      </c>
      <c r="B57" s="60">
        <v>0.78600000000000003</v>
      </c>
      <c r="C57" s="60">
        <v>2.0030000000000001</v>
      </c>
      <c r="D57" s="59">
        <v>5.976</v>
      </c>
      <c r="H57" s="84"/>
      <c r="I57" s="84"/>
      <c r="J57" s="85"/>
      <c r="K57" s="44"/>
      <c r="L57" s="80"/>
    </row>
    <row r="58" spans="1:12" x14ac:dyDescent="0.35">
      <c r="A58" s="74">
        <v>40117</v>
      </c>
      <c r="B58" s="60">
        <v>-5.7000000000000002E-2</v>
      </c>
      <c r="C58" s="60">
        <v>0.81699999999999995</v>
      </c>
      <c r="D58" s="59">
        <v>1.786</v>
      </c>
      <c r="H58" s="84"/>
      <c r="I58" s="84"/>
      <c r="J58" s="85"/>
      <c r="K58" s="44"/>
      <c r="L58" s="80"/>
    </row>
    <row r="59" spans="1:12" x14ac:dyDescent="0.35">
      <c r="A59" s="74">
        <v>40147</v>
      </c>
      <c r="B59" s="60">
        <v>1.4119999999999999</v>
      </c>
      <c r="C59" s="60">
        <v>1.415</v>
      </c>
      <c r="D59" s="59">
        <v>1.0129999999999999</v>
      </c>
    </row>
    <row r="60" spans="1:12" x14ac:dyDescent="0.35">
      <c r="A60" s="74">
        <v>40178</v>
      </c>
      <c r="B60" s="60">
        <v>-2.6389999999999998</v>
      </c>
      <c r="C60" s="60">
        <v>-1.0029999999999999</v>
      </c>
      <c r="D60" s="59">
        <v>3.1349999999999998</v>
      </c>
    </row>
    <row r="61" spans="1:12" x14ac:dyDescent="0.35">
      <c r="A61" s="74">
        <v>40209</v>
      </c>
      <c r="B61" s="60">
        <v>1.579</v>
      </c>
      <c r="C61" s="60">
        <v>2.0089999999999999</v>
      </c>
      <c r="D61" s="59">
        <v>1.5149999999999999</v>
      </c>
    </row>
    <row r="62" spans="1:12" x14ac:dyDescent="0.35">
      <c r="A62" s="74">
        <v>40237</v>
      </c>
      <c r="B62" s="60">
        <v>0.39500000000000002</v>
      </c>
      <c r="C62" s="60">
        <v>0.375</v>
      </c>
      <c r="D62" s="59">
        <v>0.155</v>
      </c>
    </row>
    <row r="63" spans="1:12" x14ac:dyDescent="0.35">
      <c r="A63" s="74">
        <v>40268</v>
      </c>
      <c r="B63" s="60">
        <v>-0.85099999999999998</v>
      </c>
      <c r="C63" s="60">
        <v>0.34699999999999998</v>
      </c>
      <c r="D63" s="59">
        <v>3.0960000000000001</v>
      </c>
    </row>
    <row r="64" spans="1:12" x14ac:dyDescent="0.35">
      <c r="A64" s="74">
        <v>40298</v>
      </c>
      <c r="B64" s="60">
        <v>1.056</v>
      </c>
      <c r="C64" s="60">
        <v>1.758</v>
      </c>
      <c r="D64" s="59">
        <v>2.2389999999999999</v>
      </c>
    </row>
    <row r="65" spans="1:6" x14ac:dyDescent="0.35">
      <c r="A65" s="74">
        <v>40329</v>
      </c>
      <c r="B65" s="60">
        <v>1.7210000000000001</v>
      </c>
      <c r="C65" s="60">
        <v>-0.57099999999999995</v>
      </c>
      <c r="D65" s="59">
        <v>-3.5209999999999999</v>
      </c>
      <c r="F65" s="36"/>
    </row>
    <row r="66" spans="1:6" x14ac:dyDescent="0.35">
      <c r="A66" s="74">
        <v>40359</v>
      </c>
      <c r="B66" s="60">
        <v>1.87</v>
      </c>
      <c r="C66" s="60">
        <v>2.0579999999999998</v>
      </c>
      <c r="D66" s="59">
        <v>1.304</v>
      </c>
    </row>
    <row r="67" spans="1:6" x14ac:dyDescent="0.35">
      <c r="A67" s="74">
        <v>40390</v>
      </c>
      <c r="B67" s="60">
        <v>0.67600000000000005</v>
      </c>
      <c r="C67" s="60">
        <v>2.0470000000000002</v>
      </c>
      <c r="D67" s="59">
        <v>3.4649999999999999</v>
      </c>
    </row>
    <row r="68" spans="1:6" x14ac:dyDescent="0.35">
      <c r="A68" s="74">
        <v>40421</v>
      </c>
      <c r="B68" s="60">
        <v>2.0470000000000002</v>
      </c>
      <c r="C68" s="60">
        <v>2.1890000000000001</v>
      </c>
      <c r="D68" s="59">
        <v>0.156</v>
      </c>
    </row>
    <row r="69" spans="1:6" x14ac:dyDescent="0.35">
      <c r="A69" s="74">
        <v>40451</v>
      </c>
      <c r="B69" s="60">
        <v>3.0000000000000001E-3</v>
      </c>
      <c r="C69" s="60">
        <v>0.59</v>
      </c>
      <c r="D69" s="59">
        <v>2.9689999999999999</v>
      </c>
    </row>
    <row r="70" spans="1:6" x14ac:dyDescent="0.35">
      <c r="A70" s="74">
        <v>40482</v>
      </c>
      <c r="B70" s="60">
        <v>-0.17799999999999999</v>
      </c>
      <c r="C70" s="60">
        <v>0.21</v>
      </c>
      <c r="D70" s="59">
        <v>2.4249999999999998</v>
      </c>
    </row>
    <row r="71" spans="1:6" x14ac:dyDescent="0.35">
      <c r="A71" s="74">
        <v>40512</v>
      </c>
      <c r="B71" s="60">
        <v>-0.68200000000000005</v>
      </c>
      <c r="C71" s="60">
        <v>-0.85499999999999998</v>
      </c>
      <c r="D71" s="59">
        <v>-1.1160000000000001</v>
      </c>
    </row>
    <row r="72" spans="1:6" x14ac:dyDescent="0.35">
      <c r="A72" s="74">
        <v>40543</v>
      </c>
      <c r="B72" s="60">
        <v>-1.825</v>
      </c>
      <c r="C72" s="60">
        <v>-0.94799999999999995</v>
      </c>
      <c r="D72" s="59">
        <v>1.7609999999999999</v>
      </c>
    </row>
    <row r="73" spans="1:6" x14ac:dyDescent="0.35">
      <c r="A73" s="74">
        <v>40574</v>
      </c>
      <c r="B73" s="60">
        <v>7.0000000000000001E-3</v>
      </c>
      <c r="C73" s="60">
        <v>0.23699999999999999</v>
      </c>
      <c r="D73" s="59">
        <v>2.1019999999999999</v>
      </c>
    </row>
    <row r="74" spans="1:6" x14ac:dyDescent="0.35">
      <c r="A74" s="74">
        <v>40602</v>
      </c>
      <c r="B74" s="60">
        <v>-8.5000000000000006E-2</v>
      </c>
      <c r="C74" s="60">
        <v>0.70899999999999996</v>
      </c>
      <c r="D74" s="59">
        <v>1.337</v>
      </c>
    </row>
    <row r="75" spans="1:6" x14ac:dyDescent="0.35">
      <c r="A75" s="74">
        <v>40633</v>
      </c>
      <c r="B75" s="60">
        <v>-5.7000000000000002E-2</v>
      </c>
      <c r="C75" s="60">
        <v>2.8000000000000001E-2</v>
      </c>
      <c r="D75" s="59">
        <v>0.42</v>
      </c>
    </row>
    <row r="76" spans="1:6" x14ac:dyDescent="0.35">
      <c r="A76" s="74">
        <v>40663</v>
      </c>
      <c r="B76" s="60">
        <v>1.1539999999999999</v>
      </c>
      <c r="C76" s="60">
        <v>1.698</v>
      </c>
      <c r="D76" s="59">
        <v>1.52</v>
      </c>
    </row>
    <row r="77" spans="1:6" x14ac:dyDescent="0.35">
      <c r="A77" s="74">
        <v>40694</v>
      </c>
      <c r="B77" s="60">
        <v>1.58</v>
      </c>
      <c r="C77" s="60">
        <v>1.4319999999999999</v>
      </c>
      <c r="D77" s="59">
        <v>0.48899999999999999</v>
      </c>
    </row>
    <row r="78" spans="1:6" x14ac:dyDescent="0.35">
      <c r="A78" s="74">
        <v>40724</v>
      </c>
      <c r="B78" s="60">
        <v>-0.307</v>
      </c>
      <c r="C78" s="60">
        <v>-0.83299999999999996</v>
      </c>
      <c r="D78" s="59">
        <v>-1.004</v>
      </c>
    </row>
    <row r="79" spans="1:6" x14ac:dyDescent="0.35">
      <c r="A79" s="74">
        <v>40755</v>
      </c>
      <c r="B79" s="60">
        <v>1.8260000000000001</v>
      </c>
      <c r="C79" s="60">
        <v>2.294</v>
      </c>
      <c r="D79" s="59">
        <v>1.2350000000000001</v>
      </c>
    </row>
    <row r="80" spans="1:6" x14ac:dyDescent="0.35">
      <c r="A80" s="74">
        <v>40786</v>
      </c>
      <c r="B80" s="60">
        <v>2.802</v>
      </c>
      <c r="C80" s="60">
        <v>0.10299999999999999</v>
      </c>
      <c r="D80" s="59">
        <v>-4.0069999999999997</v>
      </c>
    </row>
    <row r="81" spans="1:4" x14ac:dyDescent="0.35">
      <c r="A81" s="74">
        <v>40816</v>
      </c>
      <c r="B81" s="60">
        <v>1.6020000000000001</v>
      </c>
      <c r="C81" s="60">
        <v>-0.13400000000000001</v>
      </c>
      <c r="D81" s="59">
        <v>-3.5950000000000002</v>
      </c>
    </row>
    <row r="82" spans="1:4" x14ac:dyDescent="0.35">
      <c r="A82" s="74">
        <v>40847</v>
      </c>
      <c r="B82" s="60">
        <v>-0.76</v>
      </c>
      <c r="C82" s="60">
        <v>1.754</v>
      </c>
      <c r="D82" s="59">
        <v>5.9560000000000004</v>
      </c>
    </row>
    <row r="83" spans="1:4" x14ac:dyDescent="0.35">
      <c r="A83" s="74">
        <v>40877</v>
      </c>
      <c r="B83" s="60">
        <v>0.73</v>
      </c>
      <c r="C83" s="60">
        <v>-1.8660000000000001</v>
      </c>
      <c r="D83" s="59">
        <v>-2.2120000000000002</v>
      </c>
    </row>
    <row r="84" spans="1:4" x14ac:dyDescent="0.35">
      <c r="A84" s="74">
        <v>40908</v>
      </c>
      <c r="B84" s="60">
        <v>0.94599999999999995</v>
      </c>
      <c r="C84" s="60">
        <v>1.9259999999999999</v>
      </c>
      <c r="D84" s="59">
        <v>2.4790000000000001</v>
      </c>
    </row>
    <row r="85" spans="1:4" x14ac:dyDescent="0.35">
      <c r="A85" s="74">
        <v>40939</v>
      </c>
      <c r="B85" s="60">
        <v>0.45100000000000001</v>
      </c>
      <c r="C85" s="60">
        <v>2.1829999999999998</v>
      </c>
      <c r="D85" s="59">
        <v>2.903</v>
      </c>
    </row>
    <row r="86" spans="1:4" x14ac:dyDescent="0.35">
      <c r="A86" s="74">
        <v>40968</v>
      </c>
      <c r="B86" s="60">
        <v>-0.70899999999999996</v>
      </c>
      <c r="C86" s="60">
        <v>0.84899999999999998</v>
      </c>
      <c r="D86" s="59">
        <v>2.2789999999999999</v>
      </c>
    </row>
    <row r="87" spans="1:4" x14ac:dyDescent="0.35">
      <c r="A87" s="74">
        <v>40999</v>
      </c>
      <c r="B87" s="60">
        <v>-1.032</v>
      </c>
      <c r="C87" s="60">
        <v>-0.59</v>
      </c>
      <c r="D87" s="59">
        <v>-9.4E-2</v>
      </c>
    </row>
    <row r="88" spans="1:4" x14ac:dyDescent="0.35">
      <c r="A88" s="74">
        <v>41029</v>
      </c>
      <c r="B88" s="60">
        <v>1.5249999999999999</v>
      </c>
      <c r="C88" s="60">
        <v>1.276</v>
      </c>
      <c r="D88" s="59">
        <v>1.022</v>
      </c>
    </row>
    <row r="89" spans="1:4" x14ac:dyDescent="0.35">
      <c r="A89" s="74">
        <v>41060</v>
      </c>
      <c r="B89" s="60">
        <v>1.833</v>
      </c>
      <c r="C89" s="60">
        <v>0.57899999999999996</v>
      </c>
      <c r="D89" s="59">
        <v>-1.2070000000000001</v>
      </c>
    </row>
    <row r="90" spans="1:4" x14ac:dyDescent="0.35">
      <c r="A90" s="74">
        <v>41090</v>
      </c>
      <c r="B90" s="60">
        <v>-0.377</v>
      </c>
      <c r="C90" s="60">
        <v>0.499</v>
      </c>
      <c r="D90" s="59">
        <v>2.0339999999999998</v>
      </c>
    </row>
    <row r="91" spans="1:4" x14ac:dyDescent="0.35">
      <c r="A91" s="74">
        <v>41121</v>
      </c>
      <c r="B91" s="60">
        <v>1.0669999999999999</v>
      </c>
      <c r="C91" s="60">
        <v>2.8069999999999999</v>
      </c>
      <c r="D91" s="59">
        <v>1.9159999999999999</v>
      </c>
    </row>
    <row r="92" spans="1:4" x14ac:dyDescent="0.35">
      <c r="A92" s="74">
        <v>41152</v>
      </c>
      <c r="B92" s="60">
        <v>-0.13500000000000001</v>
      </c>
      <c r="C92" s="60">
        <v>0.4</v>
      </c>
      <c r="D92" s="59">
        <v>1.206</v>
      </c>
    </row>
    <row r="93" spans="1:4" x14ac:dyDescent="0.35">
      <c r="A93" s="74">
        <v>41182</v>
      </c>
      <c r="B93" s="60">
        <v>-0.34399999999999997</v>
      </c>
      <c r="C93" s="60">
        <v>0.73899999999999999</v>
      </c>
      <c r="D93" s="59">
        <v>1.4239999999999999</v>
      </c>
    </row>
    <row r="94" spans="1:4" x14ac:dyDescent="0.35">
      <c r="A94" s="74">
        <v>41213</v>
      </c>
      <c r="B94" s="60">
        <v>-0.17299999999999999</v>
      </c>
      <c r="C94" s="60">
        <v>1.3160000000000001</v>
      </c>
      <c r="D94" s="59">
        <v>0.82499999999999996</v>
      </c>
    </row>
    <row r="95" spans="1:4" x14ac:dyDescent="0.35">
      <c r="A95" s="74">
        <v>41243</v>
      </c>
      <c r="B95" s="60">
        <v>0.57499999999999996</v>
      </c>
      <c r="C95" s="60">
        <v>-8.2000000000000003E-2</v>
      </c>
      <c r="D95" s="59">
        <v>0.74199999999999999</v>
      </c>
    </row>
    <row r="96" spans="1:4" x14ac:dyDescent="0.35">
      <c r="A96" s="74">
        <v>41274</v>
      </c>
      <c r="B96" s="60">
        <v>-0.49399999999999999</v>
      </c>
      <c r="C96" s="60">
        <v>-1.9E-2</v>
      </c>
      <c r="D96" s="59">
        <v>1.5860000000000001</v>
      </c>
    </row>
    <row r="97" spans="1:4" x14ac:dyDescent="0.35">
      <c r="A97" s="74">
        <v>41305</v>
      </c>
      <c r="B97" s="60">
        <v>-0.95</v>
      </c>
      <c r="C97" s="60">
        <v>-0.71799999999999997</v>
      </c>
      <c r="D97" s="59">
        <v>1.3759999999999999</v>
      </c>
    </row>
    <row r="98" spans="1:4" x14ac:dyDescent="0.35">
      <c r="A98" s="74">
        <v>41333</v>
      </c>
      <c r="B98" s="60">
        <v>0.59399999999999997</v>
      </c>
      <c r="C98" s="60">
        <v>0.70699999999999996</v>
      </c>
      <c r="D98" s="59">
        <v>0.46300000000000002</v>
      </c>
    </row>
    <row r="99" spans="1:4" x14ac:dyDescent="0.35">
      <c r="A99" s="74">
        <v>41364</v>
      </c>
      <c r="B99" s="60">
        <v>0.107</v>
      </c>
      <c r="C99" s="60">
        <v>6.6000000000000003E-2</v>
      </c>
      <c r="D99" s="59">
        <v>1.0309999999999999</v>
      </c>
    </row>
    <row r="100" spans="1:4" x14ac:dyDescent="0.35">
      <c r="A100" s="74">
        <v>41394</v>
      </c>
      <c r="B100" s="60">
        <v>1.0529999999999999</v>
      </c>
      <c r="C100" s="60">
        <v>1.7</v>
      </c>
      <c r="D100" s="59">
        <v>1.857</v>
      </c>
    </row>
    <row r="101" spans="1:4" x14ac:dyDescent="0.35">
      <c r="A101" s="74">
        <v>41425</v>
      </c>
      <c r="B101" s="60">
        <v>-2.0150000000000001</v>
      </c>
      <c r="C101" s="60">
        <v>-2.2810000000000001</v>
      </c>
      <c r="D101" s="59">
        <v>-0.53100000000000003</v>
      </c>
    </row>
    <row r="102" spans="1:4" x14ac:dyDescent="0.35">
      <c r="A102" s="74">
        <v>41455</v>
      </c>
      <c r="B102" s="60">
        <v>-1.2549999999999999</v>
      </c>
      <c r="C102" s="60">
        <v>-2.76</v>
      </c>
      <c r="D102" s="59">
        <v>-2.6360000000000001</v>
      </c>
    </row>
    <row r="103" spans="1:4" x14ac:dyDescent="0.35">
      <c r="A103" s="74">
        <v>41486</v>
      </c>
      <c r="B103" s="60">
        <v>-0.19500000000000001</v>
      </c>
      <c r="C103" s="60">
        <v>0.73899999999999999</v>
      </c>
      <c r="D103" s="59">
        <v>1.88</v>
      </c>
    </row>
    <row r="104" spans="1:4" x14ac:dyDescent="0.35">
      <c r="A104" s="74">
        <v>41517</v>
      </c>
      <c r="B104" s="60">
        <v>-0.53900000000000003</v>
      </c>
      <c r="C104" s="60">
        <v>-0.66900000000000004</v>
      </c>
      <c r="D104" s="59">
        <v>-0.62</v>
      </c>
    </row>
    <row r="105" spans="1:4" x14ac:dyDescent="0.35">
      <c r="A105" s="74">
        <v>41547</v>
      </c>
      <c r="B105" s="60">
        <v>0.76400000000000001</v>
      </c>
      <c r="C105" s="60">
        <v>0.82399999999999995</v>
      </c>
      <c r="D105" s="59">
        <v>0.99099999999999999</v>
      </c>
    </row>
    <row r="106" spans="1:4" x14ac:dyDescent="0.35">
      <c r="A106" s="74">
        <v>41578</v>
      </c>
      <c r="B106" s="60">
        <v>0.54800000000000004</v>
      </c>
      <c r="C106" s="60">
        <v>1.4970000000000001</v>
      </c>
      <c r="D106" s="59">
        <v>2.4580000000000002</v>
      </c>
    </row>
    <row r="107" spans="1:4" x14ac:dyDescent="0.35">
      <c r="A107" s="74">
        <v>41608</v>
      </c>
      <c r="B107" s="60">
        <v>-0.42699999999999999</v>
      </c>
      <c r="C107" s="60">
        <v>-0.28799999999999998</v>
      </c>
      <c r="D107" s="59">
        <v>0.46500000000000002</v>
      </c>
    </row>
    <row r="108" spans="1:4" x14ac:dyDescent="0.35">
      <c r="A108" s="74">
        <v>41639</v>
      </c>
      <c r="B108" s="60">
        <v>-1.0389999999999999</v>
      </c>
      <c r="C108" s="60">
        <v>-0.18</v>
      </c>
      <c r="D108" s="59">
        <v>0.54800000000000004</v>
      </c>
    </row>
    <row r="109" spans="1:4" x14ac:dyDescent="0.35">
      <c r="A109" s="74">
        <v>41670</v>
      </c>
      <c r="B109" s="60">
        <v>1.597</v>
      </c>
      <c r="C109" s="60">
        <v>1.784</v>
      </c>
      <c r="D109" s="59">
        <v>0.74</v>
      </c>
    </row>
    <row r="110" spans="1:4" x14ac:dyDescent="0.35">
      <c r="A110" s="74">
        <v>41698</v>
      </c>
      <c r="B110" s="60">
        <v>0.312</v>
      </c>
      <c r="C110" s="60">
        <v>1.097</v>
      </c>
      <c r="D110" s="59">
        <v>2.004</v>
      </c>
    </row>
    <row r="111" spans="1:4" x14ac:dyDescent="0.35">
      <c r="A111" s="74">
        <v>41729</v>
      </c>
      <c r="B111" s="60">
        <v>-0.28199999999999997</v>
      </c>
      <c r="C111" s="60">
        <v>7.0999999999999994E-2</v>
      </c>
      <c r="D111" s="59">
        <v>0.23100000000000001</v>
      </c>
    </row>
    <row r="112" spans="1:4" x14ac:dyDescent="0.35">
      <c r="A112" s="74">
        <v>41759</v>
      </c>
      <c r="B112" s="60">
        <v>0.624</v>
      </c>
      <c r="C112" s="60">
        <v>1.1659999999999999</v>
      </c>
      <c r="D112" s="59">
        <v>0.69299999999999995</v>
      </c>
    </row>
    <row r="113" spans="1:4" x14ac:dyDescent="0.35">
      <c r="A113" s="74">
        <v>41790</v>
      </c>
      <c r="B113" s="60">
        <v>1.091</v>
      </c>
      <c r="C113" s="60">
        <v>1.5289999999999999</v>
      </c>
      <c r="D113" s="59">
        <v>1.0069999999999999</v>
      </c>
    </row>
    <row r="114" spans="1:4" x14ac:dyDescent="0.35">
      <c r="A114" s="74">
        <v>41820</v>
      </c>
      <c r="B114" s="60">
        <v>-0.156</v>
      </c>
      <c r="C114" s="60">
        <v>0.16700000000000001</v>
      </c>
      <c r="D114" s="59">
        <v>0.84499999999999997</v>
      </c>
    </row>
    <row r="115" spans="1:4" x14ac:dyDescent="0.35">
      <c r="A115" s="74">
        <v>41851</v>
      </c>
      <c r="B115" s="60">
        <v>-0.15</v>
      </c>
      <c r="C115" s="60">
        <v>-0.11799999999999999</v>
      </c>
      <c r="D115" s="59">
        <v>-1.3220000000000001</v>
      </c>
    </row>
    <row r="116" spans="1:4" x14ac:dyDescent="0.35">
      <c r="A116" s="74">
        <v>41882</v>
      </c>
      <c r="B116" s="60">
        <v>1.218</v>
      </c>
      <c r="C116" s="60">
        <v>1.427</v>
      </c>
      <c r="D116" s="59">
        <v>1.52</v>
      </c>
    </row>
    <row r="117" spans="1:4" x14ac:dyDescent="0.35">
      <c r="A117" s="74">
        <v>41912</v>
      </c>
      <c r="B117" s="60">
        <v>-0.63300000000000001</v>
      </c>
      <c r="C117" s="60">
        <v>-1.2430000000000001</v>
      </c>
      <c r="D117" s="59">
        <v>-2.0979999999999999</v>
      </c>
    </row>
    <row r="118" spans="1:4" x14ac:dyDescent="0.35">
      <c r="A118" s="74">
        <v>41943</v>
      </c>
      <c r="B118" s="60">
        <v>1.0860000000000001</v>
      </c>
      <c r="C118" s="60">
        <v>0.93300000000000005</v>
      </c>
      <c r="D118" s="59">
        <v>1.1379999999999999</v>
      </c>
    </row>
    <row r="119" spans="1:4" x14ac:dyDescent="0.35">
      <c r="A119" s="74">
        <v>41973</v>
      </c>
      <c r="B119" s="60">
        <v>0.92200000000000004</v>
      </c>
      <c r="C119" s="60">
        <v>0.63500000000000001</v>
      </c>
      <c r="D119" s="59">
        <v>-0.71499999999999997</v>
      </c>
    </row>
    <row r="120" spans="1:4" x14ac:dyDescent="0.35">
      <c r="A120" s="74">
        <v>42004</v>
      </c>
      <c r="B120" s="60">
        <v>0.25900000000000001</v>
      </c>
      <c r="C120" s="60">
        <v>-0.14000000000000001</v>
      </c>
      <c r="D120" s="59">
        <v>-1.474</v>
      </c>
    </row>
    <row r="121" spans="1:4" x14ac:dyDescent="0.35">
      <c r="A121" s="74">
        <v>42035</v>
      </c>
      <c r="B121" s="60">
        <v>2.883</v>
      </c>
      <c r="C121" s="60">
        <v>2.74</v>
      </c>
      <c r="D121" s="59">
        <v>0.69</v>
      </c>
    </row>
    <row r="122" spans="1:4" x14ac:dyDescent="0.35">
      <c r="A122" s="74">
        <v>42063</v>
      </c>
      <c r="B122" s="60">
        <v>-1.748</v>
      </c>
      <c r="C122" s="60">
        <v>-0.83599999999999997</v>
      </c>
      <c r="D122" s="59">
        <v>2.3860000000000001</v>
      </c>
    </row>
    <row r="123" spans="1:4" x14ac:dyDescent="0.35">
      <c r="A123" s="74">
        <v>42094</v>
      </c>
      <c r="B123" s="60">
        <v>0.65900000000000003</v>
      </c>
      <c r="C123" s="60">
        <v>0.372</v>
      </c>
      <c r="D123" s="59">
        <v>-0.53100000000000003</v>
      </c>
    </row>
    <row r="124" spans="1:4" x14ac:dyDescent="0.35">
      <c r="A124" s="74">
        <v>42124</v>
      </c>
      <c r="B124" s="60">
        <v>-0.61799999999999999</v>
      </c>
      <c r="C124" s="60">
        <v>-0.53400000000000003</v>
      </c>
      <c r="D124" s="59">
        <v>1.1990000000000001</v>
      </c>
    </row>
    <row r="125" spans="1:4" x14ac:dyDescent="0.35">
      <c r="A125" s="74">
        <v>42155</v>
      </c>
      <c r="B125" s="60">
        <v>-0.23400000000000001</v>
      </c>
      <c r="C125" s="60">
        <v>-0.505</v>
      </c>
      <c r="D125" s="59">
        <v>0.29599999999999999</v>
      </c>
    </row>
    <row r="126" spans="1:4" x14ac:dyDescent="0.35">
      <c r="A126" s="74">
        <v>42185</v>
      </c>
      <c r="B126" s="60">
        <v>-0.996</v>
      </c>
      <c r="C126" s="60">
        <v>-1.639</v>
      </c>
      <c r="D126" s="59">
        <v>-1.5249999999999999</v>
      </c>
    </row>
    <row r="127" spans="1:4" x14ac:dyDescent="0.35">
      <c r="A127" s="74">
        <v>42216</v>
      </c>
      <c r="B127" s="60">
        <v>0.93899999999999995</v>
      </c>
      <c r="C127" s="60">
        <v>0.53900000000000003</v>
      </c>
      <c r="D127" s="59">
        <v>-0.61599999999999999</v>
      </c>
    </row>
    <row r="128" spans="1:4" x14ac:dyDescent="0.35">
      <c r="A128" s="74">
        <v>42247</v>
      </c>
      <c r="B128" s="60">
        <v>5.7000000000000002E-2</v>
      </c>
      <c r="C128" s="60">
        <v>-0.67100000000000004</v>
      </c>
      <c r="D128" s="59">
        <v>-1.7609999999999999</v>
      </c>
    </row>
    <row r="129" spans="1:4" x14ac:dyDescent="0.35">
      <c r="A129" s="74">
        <v>42277</v>
      </c>
      <c r="B129" s="60">
        <v>0.89800000000000002</v>
      </c>
      <c r="C129" s="60">
        <v>0.52400000000000002</v>
      </c>
      <c r="D129" s="59">
        <v>-2.5939999999999999</v>
      </c>
    </row>
    <row r="130" spans="1:4" x14ac:dyDescent="0.35">
      <c r="A130" s="74">
        <v>42308</v>
      </c>
      <c r="B130" s="60">
        <v>-0.35599999999999998</v>
      </c>
      <c r="C130" s="60">
        <v>0.53600000000000003</v>
      </c>
      <c r="D130" s="59">
        <v>2.726</v>
      </c>
    </row>
    <row r="131" spans="1:4" x14ac:dyDescent="0.35">
      <c r="A131" s="74">
        <v>42338</v>
      </c>
      <c r="B131" s="60">
        <v>-0.42299999999999999</v>
      </c>
      <c r="C131" s="60">
        <v>-0.224</v>
      </c>
      <c r="D131" s="59">
        <v>-2.2450000000000001</v>
      </c>
    </row>
    <row r="132" spans="1:4" x14ac:dyDescent="0.35">
      <c r="A132" s="74">
        <v>42369</v>
      </c>
      <c r="B132" s="60">
        <v>-0.157</v>
      </c>
      <c r="C132" s="60">
        <v>-0.86699999999999999</v>
      </c>
      <c r="D132" s="59">
        <v>-2.5790000000000002</v>
      </c>
    </row>
    <row r="133" spans="1:4" x14ac:dyDescent="0.35">
      <c r="A133" s="74">
        <v>42400</v>
      </c>
      <c r="B133" s="60">
        <v>2.2000000000000002</v>
      </c>
      <c r="C133" s="60">
        <v>0.439</v>
      </c>
      <c r="D133" s="59">
        <v>-1.5820000000000001</v>
      </c>
    </row>
    <row r="134" spans="1:4" x14ac:dyDescent="0.35">
      <c r="A134" s="74">
        <v>42429</v>
      </c>
      <c r="B134" s="60">
        <v>0.98399999999999999</v>
      </c>
      <c r="C134" s="60">
        <v>0.73499999999999999</v>
      </c>
      <c r="D134" s="59">
        <v>0.46500000000000002</v>
      </c>
    </row>
    <row r="135" spans="1:4" x14ac:dyDescent="0.35">
      <c r="A135" s="74">
        <v>42460</v>
      </c>
      <c r="B135" s="60">
        <v>0.13900000000000001</v>
      </c>
      <c r="C135" s="60">
        <v>2.714</v>
      </c>
      <c r="D135" s="59">
        <v>4.42</v>
      </c>
    </row>
    <row r="136" spans="1:4" x14ac:dyDescent="0.35">
      <c r="A136" s="74">
        <v>42490</v>
      </c>
      <c r="B136" s="60">
        <v>-0.12</v>
      </c>
      <c r="C136" s="60">
        <v>1.36</v>
      </c>
      <c r="D136" s="59">
        <v>3.996</v>
      </c>
    </row>
    <row r="137" spans="1:4" x14ac:dyDescent="0.35">
      <c r="A137" s="74">
        <v>42521</v>
      </c>
      <c r="B137" s="60">
        <v>3.7999999999999999E-2</v>
      </c>
      <c r="C137" s="60">
        <v>-6.5000000000000002E-2</v>
      </c>
      <c r="D137" s="59">
        <v>0.72199999999999998</v>
      </c>
    </row>
    <row r="138" spans="1:4" x14ac:dyDescent="0.35">
      <c r="A138" s="74">
        <v>42551</v>
      </c>
      <c r="B138" s="60">
        <v>2.3250000000000002</v>
      </c>
      <c r="C138" s="60">
        <v>2.1800000000000002</v>
      </c>
      <c r="D138" s="59">
        <v>1.0840000000000001</v>
      </c>
    </row>
    <row r="139" spans="1:4" x14ac:dyDescent="0.35">
      <c r="A139" s="74">
        <v>42582</v>
      </c>
      <c r="B139" s="60">
        <v>0.42499999999999999</v>
      </c>
      <c r="C139" s="60">
        <v>1.45</v>
      </c>
      <c r="D139" s="59">
        <v>2.5259999999999998</v>
      </c>
    </row>
    <row r="140" spans="1:4" x14ac:dyDescent="0.35">
      <c r="A140" s="74">
        <v>42613</v>
      </c>
      <c r="B140" s="60">
        <v>-0.57299999999999995</v>
      </c>
      <c r="C140" s="60">
        <v>0.27400000000000002</v>
      </c>
      <c r="D140" s="59">
        <v>2.2269999999999999</v>
      </c>
    </row>
    <row r="141" spans="1:4" x14ac:dyDescent="0.35">
      <c r="A141" s="74">
        <v>42643</v>
      </c>
      <c r="B141" s="60">
        <v>-0.184</v>
      </c>
      <c r="C141" s="60">
        <v>-0.28799999999999998</v>
      </c>
      <c r="D141" s="59">
        <v>0.64700000000000002</v>
      </c>
    </row>
    <row r="142" spans="1:4" x14ac:dyDescent="0.35">
      <c r="A142" s="74">
        <v>42674</v>
      </c>
      <c r="B142" s="60">
        <v>-1.151</v>
      </c>
      <c r="C142" s="60">
        <v>-0.82799999999999996</v>
      </c>
      <c r="D142" s="59">
        <v>0.313</v>
      </c>
    </row>
    <row r="143" spans="1:4" x14ac:dyDescent="0.35">
      <c r="A143" s="74">
        <v>42704</v>
      </c>
      <c r="B143" s="60">
        <v>-2.7309999999999999</v>
      </c>
      <c r="C143" s="60">
        <v>-2.6789999999999998</v>
      </c>
      <c r="D143" s="59">
        <v>-0.39400000000000002</v>
      </c>
    </row>
    <row r="144" spans="1:4" x14ac:dyDescent="0.35">
      <c r="A144" s="74">
        <v>42735</v>
      </c>
      <c r="B144" s="60">
        <v>-0.115</v>
      </c>
      <c r="C144" s="60">
        <v>0.626</v>
      </c>
      <c r="D144" s="59">
        <v>1.9670000000000001</v>
      </c>
    </row>
    <row r="145" spans="1:4" x14ac:dyDescent="0.35">
      <c r="A145" s="74">
        <v>42766</v>
      </c>
      <c r="B145" s="60">
        <v>0.22600000000000001</v>
      </c>
      <c r="C145" s="60">
        <v>0.41</v>
      </c>
      <c r="D145" s="59">
        <v>1.343</v>
      </c>
    </row>
    <row r="146" spans="1:4" x14ac:dyDescent="0.35">
      <c r="A146" s="74">
        <v>42794</v>
      </c>
      <c r="B146" s="60">
        <v>0.51700000000000002</v>
      </c>
      <c r="C146" s="60">
        <v>1.131</v>
      </c>
      <c r="D146" s="59">
        <v>1.5609999999999999</v>
      </c>
    </row>
    <row r="147" spans="1:4" x14ac:dyDescent="0.35">
      <c r="A147" s="74">
        <v>42825</v>
      </c>
      <c r="B147" s="60">
        <v>-5.8999999999999997E-2</v>
      </c>
      <c r="C147" s="60">
        <v>-0.123</v>
      </c>
      <c r="D147" s="59">
        <v>-0.21</v>
      </c>
    </row>
    <row r="148" spans="1:4" x14ac:dyDescent="0.35">
      <c r="A148" s="74">
        <v>42855</v>
      </c>
      <c r="B148" s="60">
        <v>0.7</v>
      </c>
      <c r="C148" s="60">
        <v>0.998</v>
      </c>
      <c r="D148" s="59">
        <v>1.133</v>
      </c>
    </row>
    <row r="149" spans="1:4" x14ac:dyDescent="0.35">
      <c r="A149" s="74">
        <v>42886</v>
      </c>
      <c r="B149" s="60">
        <v>0.67</v>
      </c>
      <c r="C149" s="60">
        <v>1.1619999999999999</v>
      </c>
      <c r="D149" s="59">
        <v>0.89300000000000002</v>
      </c>
    </row>
    <row r="150" spans="1:4" x14ac:dyDescent="0.35">
      <c r="A150" s="74">
        <v>42916</v>
      </c>
      <c r="B150" s="60">
        <v>-0.15</v>
      </c>
      <c r="C150" s="60">
        <v>0.245</v>
      </c>
      <c r="D150" s="59">
        <v>0.106</v>
      </c>
    </row>
    <row r="151" spans="1:4" x14ac:dyDescent="0.35">
      <c r="A151" s="74">
        <v>42947</v>
      </c>
      <c r="B151" s="60">
        <v>0.152</v>
      </c>
      <c r="C151" s="60">
        <v>0.747</v>
      </c>
      <c r="D151" s="59">
        <v>1.153</v>
      </c>
    </row>
    <row r="152" spans="1:4" x14ac:dyDescent="0.35">
      <c r="A152" s="74">
        <v>42978</v>
      </c>
      <c r="B152" s="60">
        <v>1.131</v>
      </c>
      <c r="C152" s="60">
        <v>0.84699999999999998</v>
      </c>
      <c r="D152" s="59">
        <v>-2.5999999999999999E-2</v>
      </c>
    </row>
    <row r="153" spans="1:4" x14ac:dyDescent="0.35">
      <c r="A153" s="74">
        <v>43008</v>
      </c>
      <c r="B153" s="60">
        <v>-0.88</v>
      </c>
      <c r="C153" s="60">
        <v>-0.22800000000000001</v>
      </c>
      <c r="D153" s="59">
        <v>0.89800000000000002</v>
      </c>
    </row>
    <row r="154" spans="1:4" x14ac:dyDescent="0.35">
      <c r="A154" s="74">
        <v>43039</v>
      </c>
      <c r="B154" s="60">
        <v>-0.11</v>
      </c>
      <c r="C154" s="60">
        <v>0.40400000000000003</v>
      </c>
      <c r="D154" s="59">
        <v>0.38600000000000001</v>
      </c>
    </row>
    <row r="155" spans="1:4" x14ac:dyDescent="0.35">
      <c r="A155" s="74">
        <v>43069</v>
      </c>
      <c r="B155" s="60">
        <v>-0.121</v>
      </c>
      <c r="C155" s="60">
        <v>-0.14000000000000001</v>
      </c>
      <c r="D155" s="59">
        <v>-0.26800000000000002</v>
      </c>
    </row>
    <row r="156" spans="1:4" x14ac:dyDescent="0.35">
      <c r="A156" s="74">
        <v>43100</v>
      </c>
      <c r="B156" s="60">
        <v>0.34599999999999997</v>
      </c>
      <c r="C156" s="60">
        <v>0.85299999999999998</v>
      </c>
      <c r="D156" s="59">
        <v>0.29099999999999998</v>
      </c>
    </row>
    <row r="157" spans="1:4" x14ac:dyDescent="0.35">
      <c r="A157" s="74">
        <v>43131</v>
      </c>
      <c r="B157" s="60">
        <v>-1.3959999999999999</v>
      </c>
      <c r="C157" s="60">
        <v>-0.92400000000000004</v>
      </c>
      <c r="D157" s="59">
        <v>0.64100000000000001</v>
      </c>
    </row>
    <row r="158" spans="1:4" x14ac:dyDescent="0.35">
      <c r="A158" s="74">
        <v>43159</v>
      </c>
      <c r="B158" s="60">
        <v>-0.78800000000000003</v>
      </c>
      <c r="C158" s="60">
        <v>-1.496</v>
      </c>
      <c r="D158" s="59">
        <v>-0.93200000000000005</v>
      </c>
    </row>
    <row r="159" spans="1:4" x14ac:dyDescent="0.35">
      <c r="A159" s="74">
        <v>43190</v>
      </c>
      <c r="B159" s="60">
        <v>0.98799999999999999</v>
      </c>
      <c r="C159" s="60">
        <v>0.215</v>
      </c>
      <c r="D159" s="59">
        <v>-0.61699999999999999</v>
      </c>
    </row>
    <row r="160" spans="1:4" x14ac:dyDescent="0.35">
      <c r="A160" s="74">
        <v>43220</v>
      </c>
      <c r="B160" s="60">
        <v>-0.82299999999999995</v>
      </c>
      <c r="C160" s="60">
        <v>-0.85199999999999998</v>
      </c>
      <c r="D160" s="59">
        <v>0.66500000000000004</v>
      </c>
    </row>
    <row r="161" spans="1:4" x14ac:dyDescent="0.35">
      <c r="A161" s="74">
        <v>43251</v>
      </c>
      <c r="B161" s="60">
        <v>0.90800000000000003</v>
      </c>
      <c r="C161" s="60">
        <v>0.45</v>
      </c>
      <c r="D161" s="59">
        <v>-1.4999999999999999E-2</v>
      </c>
    </row>
    <row r="162" spans="1:4" x14ac:dyDescent="0.35">
      <c r="A162" s="74">
        <v>43281</v>
      </c>
      <c r="B162" s="60">
        <v>2.9000000000000001E-2</v>
      </c>
      <c r="C162" s="60">
        <v>-0.54</v>
      </c>
      <c r="D162" s="59">
        <v>0.34499999999999997</v>
      </c>
    </row>
    <row r="163" spans="1:4" x14ac:dyDescent="0.35">
      <c r="A163" s="74">
        <v>43312</v>
      </c>
      <c r="B163" s="60">
        <v>-0.45300000000000001</v>
      </c>
      <c r="C163" s="60">
        <v>0.74099999999999999</v>
      </c>
      <c r="D163" s="59">
        <v>1.117</v>
      </c>
    </row>
    <row r="164" spans="1:4" x14ac:dyDescent="0.35">
      <c r="A164" s="74">
        <v>43343</v>
      </c>
      <c r="B164" s="60">
        <v>0.78100000000000003</v>
      </c>
      <c r="C164" s="60">
        <v>0.54400000000000004</v>
      </c>
      <c r="D164" s="59">
        <v>0.72399999999999998</v>
      </c>
    </row>
    <row r="165" spans="1:4" x14ac:dyDescent="0.35">
      <c r="A165" s="74">
        <v>43373</v>
      </c>
      <c r="B165" s="60">
        <v>-0.97799999999999998</v>
      </c>
      <c r="C165" s="60">
        <v>-0.32500000000000001</v>
      </c>
      <c r="D165" s="59">
        <v>0.58099999999999996</v>
      </c>
    </row>
    <row r="166" spans="1:4" x14ac:dyDescent="0.35">
      <c r="A166" s="74">
        <v>43404</v>
      </c>
      <c r="B166" s="60">
        <v>-0.52700000000000002</v>
      </c>
      <c r="C166" s="60">
        <v>-1.351</v>
      </c>
      <c r="D166" s="59">
        <v>-1.6379999999999999</v>
      </c>
    </row>
    <row r="167" spans="1:4" x14ac:dyDescent="0.35">
      <c r="A167" s="74">
        <v>43434</v>
      </c>
      <c r="B167" s="60">
        <v>0.9</v>
      </c>
      <c r="C167" s="60">
        <v>-0.191</v>
      </c>
      <c r="D167" s="59">
        <v>-0.90700000000000003</v>
      </c>
    </row>
    <row r="168" spans="1:4" x14ac:dyDescent="0.35">
      <c r="A168" s="74">
        <v>43465</v>
      </c>
      <c r="B168" s="60">
        <v>2.2200000000000002</v>
      </c>
      <c r="C168" s="60">
        <v>1.5009999999999999</v>
      </c>
      <c r="D168" s="59">
        <v>-2.1920000000000002</v>
      </c>
    </row>
    <row r="169" spans="1:4" x14ac:dyDescent="0.35">
      <c r="A169" s="74">
        <v>43496</v>
      </c>
      <c r="B169" s="60">
        <v>0.46700000000000003</v>
      </c>
      <c r="C169" s="60">
        <v>2.093</v>
      </c>
      <c r="D169" s="59">
        <v>4.593</v>
      </c>
    </row>
    <row r="170" spans="1:4" x14ac:dyDescent="0.35">
      <c r="A170" s="74">
        <v>43524</v>
      </c>
      <c r="B170" s="60">
        <v>-0.27800000000000002</v>
      </c>
      <c r="C170" s="60">
        <v>0.36</v>
      </c>
      <c r="D170" s="59">
        <v>1.6879999999999999</v>
      </c>
    </row>
    <row r="171" spans="1:4" x14ac:dyDescent="0.35">
      <c r="A171" s="74">
        <v>43555</v>
      </c>
      <c r="B171" s="60">
        <v>1.9870000000000001</v>
      </c>
      <c r="C171" s="60">
        <v>2.4900000000000002</v>
      </c>
      <c r="D171" s="59">
        <v>0.98</v>
      </c>
    </row>
    <row r="172" spans="1:4" x14ac:dyDescent="0.35">
      <c r="A172" s="74">
        <v>43585</v>
      </c>
      <c r="B172" s="60">
        <v>-0.32400000000000001</v>
      </c>
      <c r="C172" s="60">
        <v>0.55700000000000005</v>
      </c>
      <c r="D172" s="59">
        <v>1.399</v>
      </c>
    </row>
    <row r="173" spans="1:4" x14ac:dyDescent="0.35">
      <c r="A173" s="74">
        <v>43616</v>
      </c>
      <c r="B173" s="60">
        <v>2.4430000000000001</v>
      </c>
      <c r="C173" s="60">
        <v>1.4350000000000001</v>
      </c>
      <c r="D173" s="59">
        <v>-1.2709999999999999</v>
      </c>
    </row>
    <row r="174" spans="1:4" x14ac:dyDescent="0.35">
      <c r="A174" s="74">
        <v>43646</v>
      </c>
      <c r="B174" s="60">
        <v>0.92800000000000005</v>
      </c>
      <c r="C174" s="60">
        <v>2.2999999999999998</v>
      </c>
      <c r="D174" s="59">
        <v>2.452</v>
      </c>
    </row>
    <row r="175" spans="1:4" x14ac:dyDescent="0.35">
      <c r="A175" s="74">
        <v>43677</v>
      </c>
      <c r="B175" s="60">
        <v>-0.105</v>
      </c>
      <c r="C175" s="60">
        <v>0.65500000000000003</v>
      </c>
      <c r="D175" s="59">
        <v>0.51200000000000001</v>
      </c>
    </row>
    <row r="176" spans="1:4" x14ac:dyDescent="0.35">
      <c r="A176" s="74">
        <v>43708</v>
      </c>
      <c r="B176" s="60">
        <v>3.5529999999999999</v>
      </c>
      <c r="C176" s="60">
        <v>3.036</v>
      </c>
      <c r="D176" s="59">
        <v>0.39</v>
      </c>
    </row>
    <row r="177" spans="1:4" x14ac:dyDescent="0.35">
      <c r="A177" s="74">
        <v>43738</v>
      </c>
      <c r="B177" s="60">
        <v>-0.90300000000000002</v>
      </c>
      <c r="C177" s="60">
        <v>-0.61899999999999999</v>
      </c>
      <c r="D177" s="59">
        <v>0.317</v>
      </c>
    </row>
    <row r="178" spans="1:4" x14ac:dyDescent="0.35">
      <c r="A178" s="74">
        <v>43769</v>
      </c>
      <c r="B178" s="60">
        <v>3.1E-2</v>
      </c>
      <c r="C178" s="60">
        <v>0.61199999999999999</v>
      </c>
      <c r="D178" s="59">
        <v>0.23200000000000001</v>
      </c>
    </row>
    <row r="179" spans="1:4" x14ac:dyDescent="0.35">
      <c r="A179" s="74">
        <v>43799</v>
      </c>
      <c r="B179" s="60">
        <v>-0.308</v>
      </c>
      <c r="C179" s="60">
        <v>0.217</v>
      </c>
      <c r="D179" s="59">
        <v>0.27300000000000002</v>
      </c>
    </row>
    <row r="180" spans="1:4" x14ac:dyDescent="0.35">
      <c r="A180" s="74">
        <v>43830</v>
      </c>
      <c r="B180" s="60">
        <v>-0.61599999999999999</v>
      </c>
      <c r="C180" s="60">
        <v>0.315</v>
      </c>
      <c r="D180" s="59">
        <v>2.09</v>
      </c>
    </row>
    <row r="181" spans="1:4" x14ac:dyDescent="0.35">
      <c r="A181" s="74">
        <v>43861</v>
      </c>
      <c r="B181" s="60">
        <v>2.5640000000000001</v>
      </c>
      <c r="C181" s="60">
        <v>2.3759999999999999</v>
      </c>
      <c r="D181" s="59">
        <v>4.0000000000000001E-3</v>
      </c>
    </row>
    <row r="182" spans="1:4" x14ac:dyDescent="0.35">
      <c r="A182" s="74">
        <v>43890</v>
      </c>
      <c r="B182" s="60">
        <v>2.7280000000000002</v>
      </c>
      <c r="C182" s="60">
        <v>1.29</v>
      </c>
      <c r="D182" s="59">
        <v>-1.55</v>
      </c>
    </row>
    <row r="183" spans="1:4" x14ac:dyDescent="0.35">
      <c r="A183" s="74">
        <v>43921</v>
      </c>
      <c r="B183" s="60">
        <v>3.2639999999999998</v>
      </c>
      <c r="C183" s="60">
        <v>-7.4740000000000002</v>
      </c>
      <c r="D183" s="59">
        <v>-11.759</v>
      </c>
    </row>
    <row r="184" spans="1:4" x14ac:dyDescent="0.35">
      <c r="A184" s="74">
        <v>43951</v>
      </c>
      <c r="B184" s="60">
        <v>0.40500000000000003</v>
      </c>
      <c r="C184" s="60">
        <v>5.2720000000000002</v>
      </c>
      <c r="D184" s="59">
        <v>3.8</v>
      </c>
    </row>
    <row r="185" spans="1:4" x14ac:dyDescent="0.35">
      <c r="A185" s="74">
        <v>43982</v>
      </c>
      <c r="B185" s="60">
        <v>-0.308</v>
      </c>
      <c r="C185" s="60">
        <v>1.748</v>
      </c>
      <c r="D185" s="59">
        <v>4.5739999999999998</v>
      </c>
    </row>
    <row r="186" spans="1:4" x14ac:dyDescent="0.35">
      <c r="A186" s="74">
        <v>44012</v>
      </c>
      <c r="B186" s="60">
        <v>0.109</v>
      </c>
      <c r="C186" s="60">
        <v>2.0150000000000001</v>
      </c>
      <c r="D186" s="59">
        <v>0.97499999999999998</v>
      </c>
    </row>
    <row r="187" spans="1:4" x14ac:dyDescent="0.35">
      <c r="A187" s="74">
        <v>44043</v>
      </c>
      <c r="B187" s="60">
        <v>1.212</v>
      </c>
      <c r="C187" s="60">
        <v>3.1509999999999998</v>
      </c>
      <c r="D187" s="59">
        <v>4.7779999999999996</v>
      </c>
    </row>
    <row r="188" spans="1:4" x14ac:dyDescent="0.35">
      <c r="A188" s="74">
        <v>44074</v>
      </c>
      <c r="B188" s="60">
        <v>-1.202</v>
      </c>
      <c r="C188" s="60">
        <v>-1.1539999999999999</v>
      </c>
      <c r="D188" s="59">
        <v>0.98399999999999999</v>
      </c>
    </row>
    <row r="189" spans="1:4" x14ac:dyDescent="0.35">
      <c r="A189" s="74">
        <v>44104</v>
      </c>
      <c r="B189" s="60">
        <v>0.185</v>
      </c>
      <c r="C189" s="60">
        <v>-0.26400000000000001</v>
      </c>
      <c r="D189" s="59">
        <v>-1.0429999999999999</v>
      </c>
    </row>
    <row r="190" spans="1:4" x14ac:dyDescent="0.35">
      <c r="A190" s="74">
        <v>44135</v>
      </c>
      <c r="B190" s="60">
        <v>-1.01</v>
      </c>
      <c r="C190" s="60">
        <v>-0.17199999999999999</v>
      </c>
      <c r="D190" s="59">
        <v>0.46800000000000003</v>
      </c>
    </row>
    <row r="191" spans="1:4" x14ac:dyDescent="0.35">
      <c r="A191" s="74">
        <v>44165</v>
      </c>
      <c r="B191" s="60">
        <v>0.38100000000000001</v>
      </c>
      <c r="C191" s="60">
        <v>2.6659999999999999</v>
      </c>
      <c r="D191" s="59">
        <v>4.0030000000000001</v>
      </c>
    </row>
    <row r="192" spans="1:4" x14ac:dyDescent="0.35">
      <c r="A192" s="74">
        <v>44196</v>
      </c>
      <c r="B192" s="60">
        <v>-0.28299999999999997</v>
      </c>
      <c r="C192" s="60">
        <v>0.49099999999999999</v>
      </c>
      <c r="D192" s="59">
        <v>1.907</v>
      </c>
    </row>
    <row r="193" spans="1:4" x14ac:dyDescent="0.35">
      <c r="A193" s="74">
        <v>44227</v>
      </c>
      <c r="B193" s="60">
        <v>-1.123</v>
      </c>
      <c r="C193" s="60">
        <v>-1.22</v>
      </c>
      <c r="D193" s="59">
        <v>0.38300000000000001</v>
      </c>
    </row>
    <row r="194" spans="1:4" x14ac:dyDescent="0.35">
      <c r="A194" s="74">
        <v>44255</v>
      </c>
      <c r="B194" s="60">
        <v>-2.286</v>
      </c>
      <c r="C194" s="60">
        <v>-1.9550000000000001</v>
      </c>
      <c r="D194" s="59">
        <v>0.34799999999999998</v>
      </c>
    </row>
    <row r="195" spans="1:4" x14ac:dyDescent="0.35">
      <c r="A195" s="74">
        <v>44286</v>
      </c>
      <c r="B195" s="60">
        <v>-1.2649999999999999</v>
      </c>
      <c r="C195" s="60">
        <v>-1.387</v>
      </c>
      <c r="D195" s="59">
        <v>0.17</v>
      </c>
    </row>
    <row r="196" spans="1:4" x14ac:dyDescent="0.35">
      <c r="A196" s="74">
        <v>44316</v>
      </c>
      <c r="B196" s="60">
        <v>0.84</v>
      </c>
      <c r="C196" s="60">
        <v>1.19</v>
      </c>
      <c r="D196" s="59">
        <v>1.097</v>
      </c>
    </row>
    <row r="197" spans="1:4" x14ac:dyDescent="0.35">
      <c r="A197" s="74">
        <v>44347</v>
      </c>
      <c r="B197" s="60">
        <v>0.29799999999999999</v>
      </c>
      <c r="C197" s="60">
        <v>0.70199999999999996</v>
      </c>
      <c r="D197" s="59">
        <v>0.28899999999999998</v>
      </c>
    </row>
    <row r="198" spans="1:4" x14ac:dyDescent="0.35">
      <c r="A198" s="74">
        <v>44377</v>
      </c>
      <c r="B198" s="60">
        <v>0.86899999999999999</v>
      </c>
      <c r="C198" s="60">
        <v>1.665</v>
      </c>
      <c r="D198" s="59">
        <v>1.3660000000000001</v>
      </c>
    </row>
    <row r="199" spans="1:4" x14ac:dyDescent="0.35">
      <c r="A199" s="74">
        <v>44408</v>
      </c>
      <c r="B199" s="60">
        <v>1.34</v>
      </c>
      <c r="C199" s="60">
        <v>1.21</v>
      </c>
      <c r="D199" s="59">
        <v>0.35599999999999998</v>
      </c>
    </row>
    <row r="200" spans="1:4" x14ac:dyDescent="0.35">
      <c r="A200" s="74">
        <v>44439</v>
      </c>
      <c r="B200" s="60">
        <v>-0.156</v>
      </c>
      <c r="C200" s="60">
        <v>-0.19800000000000001</v>
      </c>
      <c r="D200" s="59">
        <v>0.54500000000000004</v>
      </c>
    </row>
    <row r="201" spans="1:4" x14ac:dyDescent="0.35">
      <c r="A201" s="74">
        <v>44469</v>
      </c>
      <c r="B201" s="60">
        <v>-1.2010000000000001</v>
      </c>
      <c r="C201" s="60">
        <v>-1.0569999999999999</v>
      </c>
      <c r="D201" s="59">
        <v>3.4000000000000002E-2</v>
      </c>
    </row>
    <row r="202" spans="1:4" x14ac:dyDescent="0.35">
      <c r="A202" s="74">
        <v>44500</v>
      </c>
      <c r="B202" s="60">
        <v>3.1E-2</v>
      </c>
      <c r="C202" s="60">
        <v>0.25</v>
      </c>
      <c r="D202" s="59">
        <v>-0.17799999999999999</v>
      </c>
    </row>
    <row r="203" spans="1:4" x14ac:dyDescent="0.35">
      <c r="A203" s="74">
        <v>44530</v>
      </c>
      <c r="B203" s="60">
        <v>0.89100000000000001</v>
      </c>
      <c r="C203" s="60">
        <v>9.1999999999999998E-2</v>
      </c>
      <c r="D203" s="59">
        <v>-1.0249999999999999</v>
      </c>
    </row>
    <row r="204" spans="1:4" x14ac:dyDescent="0.35">
      <c r="A204" s="74">
        <v>44561</v>
      </c>
      <c r="B204" s="60">
        <v>-0.56999999999999995</v>
      </c>
      <c r="C204" s="60">
        <v>-0.17100000000000001</v>
      </c>
      <c r="D204" s="59">
        <v>1.881</v>
      </c>
    </row>
    <row r="205" spans="1:4" x14ac:dyDescent="0.35">
      <c r="A205" s="74">
        <v>44592</v>
      </c>
      <c r="B205" s="60">
        <v>-1.8859999999999999</v>
      </c>
      <c r="C205" s="60">
        <v>-3.125</v>
      </c>
      <c r="D205" s="59">
        <v>-2.7490000000000001</v>
      </c>
    </row>
    <row r="206" spans="1:4" x14ac:dyDescent="0.35">
      <c r="A206" s="74">
        <v>44620</v>
      </c>
      <c r="B206" s="60">
        <v>-0.75900000000000001</v>
      </c>
      <c r="C206" s="60">
        <v>-2.181</v>
      </c>
      <c r="D206" s="59">
        <v>-0.89800000000000002</v>
      </c>
    </row>
    <row r="207" spans="1:4" x14ac:dyDescent="0.35">
      <c r="A207" s="74">
        <v>44651</v>
      </c>
      <c r="B207" s="60">
        <v>-3.0049999999999999</v>
      </c>
      <c r="C207" s="60">
        <v>-2.6389999999999998</v>
      </c>
      <c r="D207" s="59">
        <v>-0.92500000000000004</v>
      </c>
    </row>
    <row r="208" spans="1:4" x14ac:dyDescent="0.35">
      <c r="A208" s="74">
        <v>44681</v>
      </c>
      <c r="B208" s="60">
        <v>-3.2080000000000002</v>
      </c>
      <c r="C208" s="60">
        <v>-4.9720000000000004</v>
      </c>
      <c r="D208" s="59">
        <v>-3.6379999999999999</v>
      </c>
    </row>
    <row r="209" spans="1:4" x14ac:dyDescent="0.35">
      <c r="A209" s="74">
        <v>44712</v>
      </c>
      <c r="B209" s="60">
        <v>6.2E-2</v>
      </c>
      <c r="C209" s="60">
        <v>0.53500000000000003</v>
      </c>
      <c r="D209" s="59">
        <v>0.25</v>
      </c>
    </row>
    <row r="210" spans="1:4" x14ac:dyDescent="0.35">
      <c r="A210" s="74">
        <v>44742</v>
      </c>
      <c r="B210" s="60">
        <v>-0.72399999999999998</v>
      </c>
      <c r="C210" s="60">
        <v>-2.35</v>
      </c>
      <c r="D210" s="59">
        <v>-6.8070000000000004</v>
      </c>
    </row>
    <row r="211" spans="1:4" x14ac:dyDescent="0.35">
      <c r="A211" s="74">
        <v>44773</v>
      </c>
      <c r="B211" s="60">
        <v>1.659</v>
      </c>
      <c r="C211" s="60">
        <v>2.9489999999999998</v>
      </c>
      <c r="D211" s="59">
        <v>6.0229999999999997</v>
      </c>
    </row>
    <row r="212" spans="1:4" x14ac:dyDescent="0.35">
      <c r="A212" s="74">
        <v>44804</v>
      </c>
      <c r="B212" s="60">
        <v>-2.617</v>
      </c>
      <c r="C212" s="60">
        <v>-2.661</v>
      </c>
      <c r="D212" s="59">
        <v>-2.395</v>
      </c>
    </row>
    <row r="213" spans="1:4" x14ac:dyDescent="0.35">
      <c r="A213" s="74">
        <v>44834</v>
      </c>
      <c r="B213" s="60">
        <v>-3.7509999999999999</v>
      </c>
      <c r="C213" s="60">
        <v>-5.3079999999999998</v>
      </c>
      <c r="D213" s="59">
        <v>-4.0220000000000002</v>
      </c>
    </row>
    <row r="214" spans="1:4" x14ac:dyDescent="0.35">
      <c r="A214" s="74">
        <v>44865</v>
      </c>
      <c r="B214" s="60">
        <v>-1.522</v>
      </c>
      <c r="C214" s="60">
        <v>-1.115</v>
      </c>
      <c r="D214" s="59">
        <v>2.847</v>
      </c>
    </row>
    <row r="215" spans="1:4" x14ac:dyDescent="0.35">
      <c r="A215" s="74">
        <v>44895</v>
      </c>
      <c r="B215" s="60">
        <v>2.8130000000000002</v>
      </c>
      <c r="C215" s="60">
        <v>4.9180000000000001</v>
      </c>
      <c r="D215" s="59">
        <v>1.8720000000000001</v>
      </c>
    </row>
    <row r="216" spans="1:4" x14ac:dyDescent="0.35">
      <c r="A216" s="74">
        <v>44926</v>
      </c>
      <c r="B216" s="60">
        <v>-0.52400000000000002</v>
      </c>
      <c r="C216" s="60">
        <v>-0.21199999999999999</v>
      </c>
      <c r="D216" s="59">
        <v>-0.753</v>
      </c>
    </row>
    <row r="217" spans="1:4" x14ac:dyDescent="0.35">
      <c r="A217" s="74">
        <v>44957</v>
      </c>
      <c r="B217" s="60">
        <v>2.5939999999999999</v>
      </c>
      <c r="C217" s="60">
        <v>3.8889999999999998</v>
      </c>
      <c r="D217" s="59">
        <v>3.91</v>
      </c>
    </row>
    <row r="218" spans="1:4" x14ac:dyDescent="0.35">
      <c r="A218" s="74">
        <v>44985</v>
      </c>
      <c r="B218" s="60">
        <v>-2.4089999999999998</v>
      </c>
      <c r="C218" s="60">
        <v>-2.9129999999999998</v>
      </c>
      <c r="D218" s="59">
        <v>-1.294</v>
      </c>
    </row>
    <row r="219" spans="1:4" x14ac:dyDescent="0.35">
      <c r="A219" s="74">
        <v>45016</v>
      </c>
      <c r="B219" s="60">
        <v>2.9580000000000002</v>
      </c>
      <c r="C219" s="60">
        <v>2.5630000000000002</v>
      </c>
      <c r="D219" s="59">
        <v>1.1259999999999999</v>
      </c>
    </row>
    <row r="220" spans="1:4" x14ac:dyDescent="0.35">
      <c r="A220" s="74">
        <v>45046</v>
      </c>
      <c r="B220" s="60">
        <v>0.54700000000000004</v>
      </c>
      <c r="C220" s="60">
        <v>0.84799999999999998</v>
      </c>
      <c r="D220" s="59">
        <v>0.96499999999999997</v>
      </c>
    </row>
    <row r="221" spans="1:4" x14ac:dyDescent="0.35">
      <c r="A221" s="74">
        <v>45077</v>
      </c>
      <c r="B221" s="60">
        <v>-1.228</v>
      </c>
      <c r="C221" s="60">
        <v>-1.3280000000000001</v>
      </c>
      <c r="D221" s="59">
        <v>-0.94899999999999995</v>
      </c>
    </row>
    <row r="222" spans="1:4" x14ac:dyDescent="0.35">
      <c r="A222" s="74">
        <v>45107</v>
      </c>
      <c r="B222" s="60">
        <v>-0.72499999999999998</v>
      </c>
      <c r="C222" s="60">
        <v>0.28399999999999997</v>
      </c>
      <c r="D222" s="59">
        <v>1.6279999999999999</v>
      </c>
    </row>
    <row r="223" spans="1:4" x14ac:dyDescent="0.35">
      <c r="A223" s="74">
        <v>45138</v>
      </c>
      <c r="B223" s="60">
        <v>-0.39600000000000002</v>
      </c>
      <c r="C223" s="60">
        <v>0.433</v>
      </c>
      <c r="D223" s="59">
        <v>1.4239999999999999</v>
      </c>
    </row>
    <row r="224" spans="1:4" x14ac:dyDescent="0.35">
      <c r="A224" s="74">
        <v>45169</v>
      </c>
      <c r="B224" s="60">
        <v>-0.58199999999999996</v>
      </c>
      <c r="C224" s="60">
        <v>-0.68300000000000005</v>
      </c>
      <c r="D224" s="59">
        <v>0.28499999999999998</v>
      </c>
    </row>
    <row r="225" spans="1:4" x14ac:dyDescent="0.35">
      <c r="A225" s="74">
        <v>45199</v>
      </c>
      <c r="B225" s="60">
        <v>-2.3809999999999998</v>
      </c>
      <c r="C225" s="60">
        <v>-2.4500000000000002</v>
      </c>
      <c r="D225" s="59">
        <v>-1.163</v>
      </c>
    </row>
    <row r="226" spans="1:4" x14ac:dyDescent="0.35">
      <c r="A226" s="74">
        <v>45230</v>
      </c>
      <c r="B226" s="60">
        <v>-1.3220000000000001</v>
      </c>
      <c r="C226" s="60">
        <v>-1.82</v>
      </c>
      <c r="D226" s="59">
        <v>-1.238</v>
      </c>
    </row>
    <row r="227" spans="1:4" x14ac:dyDescent="0.35">
      <c r="A227" s="74">
        <v>45260</v>
      </c>
      <c r="B227" s="60">
        <v>3.6059999999999999</v>
      </c>
      <c r="C227" s="60">
        <v>5.641</v>
      </c>
      <c r="D227" s="59">
        <v>4.548</v>
      </c>
    </row>
    <row r="228" spans="1:4" x14ac:dyDescent="0.35">
      <c r="A228" s="74">
        <v>45291</v>
      </c>
      <c r="B228" s="60">
        <v>3.411</v>
      </c>
      <c r="C228" s="60">
        <v>4.0439999999999996</v>
      </c>
      <c r="D228" s="59">
        <v>3.6880000000000002</v>
      </c>
    </row>
    <row r="229" spans="1:4" x14ac:dyDescent="0.35">
      <c r="A229" s="74">
        <v>45322</v>
      </c>
      <c r="B229" s="60">
        <v>-0.17599999999999999</v>
      </c>
      <c r="C229" s="60">
        <v>0.14799999999999999</v>
      </c>
      <c r="D229" s="59">
        <v>1.9E-2</v>
      </c>
    </row>
    <row r="230" spans="1:4" x14ac:dyDescent="0.35">
      <c r="A230" s="74">
        <v>45351</v>
      </c>
      <c r="B230" s="60">
        <v>-1.355</v>
      </c>
      <c r="C230" s="60">
        <v>-1.397</v>
      </c>
      <c r="D230" s="59">
        <v>0.29599999999999999</v>
      </c>
    </row>
    <row r="231" spans="1:4" x14ac:dyDescent="0.35">
      <c r="A231" s="74">
        <v>45382</v>
      </c>
      <c r="B231" s="60">
        <v>0.59899999999999998</v>
      </c>
      <c r="C231" s="60">
        <v>1.1859999999999999</v>
      </c>
      <c r="D231" s="59">
        <v>1.1910000000000001</v>
      </c>
    </row>
    <row r="232" spans="1:4" x14ac:dyDescent="0.35">
      <c r="A232" s="74">
        <v>45412</v>
      </c>
      <c r="B232" s="60">
        <v>-2.363</v>
      </c>
      <c r="C232" s="60">
        <v>-2.3279999999999998</v>
      </c>
      <c r="D232" s="59">
        <v>-1</v>
      </c>
    </row>
    <row r="233" spans="1:4" x14ac:dyDescent="0.35">
      <c r="A233" s="74">
        <v>45443</v>
      </c>
      <c r="B233" s="60">
        <v>1.4950000000000001</v>
      </c>
      <c r="C233" s="60">
        <v>1.853</v>
      </c>
      <c r="D233" s="59">
        <v>1.135</v>
      </c>
    </row>
    <row r="234" spans="1:4" x14ac:dyDescent="0.35">
      <c r="A234" s="74">
        <v>45473</v>
      </c>
      <c r="B234" s="60">
        <v>1.0309999999999999</v>
      </c>
      <c r="C234" s="60">
        <v>0.63800000000000001</v>
      </c>
      <c r="D234" s="59">
        <v>0.96499999999999997</v>
      </c>
    </row>
    <row r="235" spans="1:4" x14ac:dyDescent="0.35">
      <c r="A235" s="74">
        <v>45504</v>
      </c>
      <c r="B235" s="60">
        <v>2.2349999999999999</v>
      </c>
      <c r="C235" s="60">
        <v>2.363</v>
      </c>
      <c r="D235" s="59">
        <v>1.962</v>
      </c>
    </row>
    <row r="236" spans="1:4" x14ac:dyDescent="0.35">
      <c r="A236" s="74">
        <v>45535</v>
      </c>
      <c r="B236" s="60">
        <v>1.3089999999999999</v>
      </c>
      <c r="C236" s="60">
        <v>1.532</v>
      </c>
      <c r="D236" s="59">
        <v>1.591</v>
      </c>
    </row>
    <row r="237" spans="1:4" x14ac:dyDescent="0.35">
      <c r="A237" s="74">
        <v>45565</v>
      </c>
      <c r="B237" s="60">
        <v>1.224</v>
      </c>
      <c r="C237" s="60">
        <v>1.7230000000000001</v>
      </c>
      <c r="D237" s="59">
        <v>1.6339999999999999</v>
      </c>
    </row>
    <row r="238" spans="1:4" x14ac:dyDescent="0.35">
      <c r="A238" s="74">
        <v>45596</v>
      </c>
      <c r="B238" s="60">
        <v>-2.48</v>
      </c>
      <c r="C238" s="60">
        <v>-2.25</v>
      </c>
      <c r="D238" s="59">
        <v>-0.55000000000000004</v>
      </c>
    </row>
    <row r="239" spans="1:4" x14ac:dyDescent="0.35">
      <c r="A239" s="74">
        <v>45626</v>
      </c>
      <c r="B239" s="60">
        <v>0.82099999999999995</v>
      </c>
      <c r="C239" s="60">
        <v>1.196</v>
      </c>
      <c r="D239" s="59">
        <v>1.145</v>
      </c>
    </row>
    <row r="240" spans="1:4" x14ac:dyDescent="0.35">
      <c r="A240" s="74">
        <v>45657</v>
      </c>
      <c r="B240" s="60">
        <v>-1.6870000000000001</v>
      </c>
      <c r="C240" s="60">
        <v>-1.776</v>
      </c>
      <c r="D240" s="59">
        <v>-0.42899999999999999</v>
      </c>
    </row>
    <row r="241" spans="1:4" x14ac:dyDescent="0.35">
      <c r="A241" s="74">
        <v>45688</v>
      </c>
      <c r="B241" s="60">
        <v>0.55100000000000005</v>
      </c>
      <c r="C241" s="60">
        <v>0.60599999999999998</v>
      </c>
      <c r="D241" s="59">
        <v>1.381</v>
      </c>
    </row>
    <row r="242" spans="1:4" x14ac:dyDescent="0.35">
      <c r="A242" s="74">
        <v>45716</v>
      </c>
      <c r="B242" s="60">
        <v>2.2450000000000001</v>
      </c>
      <c r="C242" s="60">
        <v>2.0249999999999999</v>
      </c>
      <c r="D242" s="59">
        <v>0.65</v>
      </c>
    </row>
    <row r="243" spans="1:4" x14ac:dyDescent="0.35">
      <c r="A243" s="74">
        <v>45747</v>
      </c>
      <c r="B243" s="60">
        <v>0.19500000000000001</v>
      </c>
      <c r="C243" s="60">
        <v>-0.27500000000000002</v>
      </c>
      <c r="D243" s="59">
        <v>-1.073</v>
      </c>
    </row>
    <row r="244" spans="1:4" x14ac:dyDescent="0.35">
      <c r="A244" s="74">
        <v>45777</v>
      </c>
      <c r="B244" s="60">
        <v>0.55300000000000005</v>
      </c>
      <c r="C244" s="60">
        <v>-2.5000000000000001E-2</v>
      </c>
      <c r="D244" s="59">
        <v>2E-3</v>
      </c>
    </row>
    <row r="245" spans="1:4" x14ac:dyDescent="0.35">
      <c r="A245" s="74">
        <v>45808</v>
      </c>
      <c r="B245" s="60">
        <v>-1.071</v>
      </c>
      <c r="C245" s="60">
        <v>3.0000000000000001E-3</v>
      </c>
      <c r="D245" s="59">
        <v>1.6819999999999999</v>
      </c>
    </row>
    <row r="246" spans="1:4" x14ac:dyDescent="0.35">
      <c r="A246" s="74">
        <v>45838</v>
      </c>
      <c r="B246" s="60">
        <v>1.2929999999999999</v>
      </c>
      <c r="C246" s="60">
        <v>1.8169999999999999</v>
      </c>
      <c r="D246" s="59">
        <v>1.8560000000000001</v>
      </c>
    </row>
    <row r="247" spans="1:4" x14ac:dyDescent="0.35">
      <c r="A247" s="74">
        <v>45869</v>
      </c>
      <c r="B247" s="60">
        <v>-0.38800000000000001</v>
      </c>
      <c r="C247" s="60">
        <v>0.14899999999999999</v>
      </c>
      <c r="D247" s="59">
        <v>0.40100000000000002</v>
      </c>
    </row>
    <row r="248" spans="1:4" x14ac:dyDescent="0.35">
      <c r="A248" s="74">
        <v>45900</v>
      </c>
      <c r="B248" s="60">
        <v>1.026</v>
      </c>
      <c r="C248" s="60">
        <v>1.0620000000000001</v>
      </c>
      <c r="D248" s="59">
        <v>1.218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AAC24-CFD7-4860-8784-4FED160FA84C}">
  <sheetPr codeName="Sheet14"/>
  <dimension ref="A1:Z249"/>
  <sheetViews>
    <sheetView tabSelected="1" zoomScale="85" zoomScaleNormal="85" workbookViewId="0">
      <selection activeCell="A9" sqref="A9:C249"/>
    </sheetView>
  </sheetViews>
  <sheetFormatPr defaultColWidth="9.08984375" defaultRowHeight="14.5" x14ac:dyDescent="0.35"/>
  <cols>
    <col min="1" max="1" width="12.08984375" style="28" customWidth="1"/>
    <col min="2" max="3" width="11.54296875" style="28" customWidth="1"/>
    <col min="4" max="4" width="12.08984375" style="28" customWidth="1"/>
    <col min="5" max="6" width="11.90625" style="28" customWidth="1"/>
    <col min="7" max="7" width="10.36328125" style="28" customWidth="1"/>
    <col min="8" max="8" width="3" style="28" customWidth="1"/>
    <col min="9" max="9" width="9.08984375" style="28"/>
    <col min="10" max="10" width="13.08984375" style="28" bestFit="1" customWidth="1"/>
    <col min="11" max="13" width="9.08984375" style="28"/>
    <col min="14" max="14" width="8.90625" style="28" customWidth="1"/>
    <col min="15" max="16384" width="9.08984375" style="28"/>
  </cols>
  <sheetData>
    <row r="1" spans="1:26" s="37" customFormat="1" ht="26" x14ac:dyDescent="0.6">
      <c r="A1" s="37" t="s">
        <v>50</v>
      </c>
    </row>
    <row r="2" spans="1:26" s="1" customFormat="1" x14ac:dyDescent="0.35"/>
    <row r="3" spans="1:26" s="1" customFormat="1" x14ac:dyDescent="0.35">
      <c r="A3" s="27" t="s">
        <v>33</v>
      </c>
      <c r="B3" s="27"/>
      <c r="C3" s="27"/>
      <c r="D3" s="30"/>
      <c r="E3" s="30"/>
      <c r="F3" s="30"/>
      <c r="O3" s="56">
        <v>0</v>
      </c>
      <c r="P3" s="1">
        <v>0</v>
      </c>
    </row>
    <row r="4" spans="1:26" s="1" customFormat="1" x14ac:dyDescent="0.35">
      <c r="A4" s="25" t="s">
        <v>19</v>
      </c>
      <c r="B4" s="25" t="s">
        <v>21</v>
      </c>
      <c r="C4" s="25"/>
      <c r="D4" s="30"/>
      <c r="E4" s="30"/>
      <c r="F4" s="30"/>
    </row>
    <row r="5" spans="1:26" x14ac:dyDescent="0.35">
      <c r="A5" s="26" t="s">
        <v>20</v>
      </c>
      <c r="B5" s="26" t="s">
        <v>22</v>
      </c>
      <c r="C5" s="25"/>
      <c r="D5" s="30"/>
      <c r="E5" s="30"/>
      <c r="F5" s="30"/>
      <c r="G5" s="34"/>
    </row>
    <row r="6" spans="1:26" x14ac:dyDescent="0.35">
      <c r="A6" s="29"/>
      <c r="B6" s="29"/>
      <c r="D6" s="30"/>
      <c r="E6" s="30"/>
      <c r="F6" s="30"/>
      <c r="X6" s="30"/>
      <c r="Y6" s="30"/>
      <c r="Z6" s="46"/>
    </row>
    <row r="7" spans="1:26" x14ac:dyDescent="0.35">
      <c r="A7" s="48"/>
      <c r="B7" s="87" t="s">
        <v>32</v>
      </c>
      <c r="C7" s="87"/>
      <c r="D7" s="88" t="s">
        <v>52</v>
      </c>
      <c r="E7" s="88"/>
      <c r="F7" s="88"/>
      <c r="G7" s="88"/>
      <c r="J7" s="32"/>
      <c r="K7" s="33" t="s">
        <v>24</v>
      </c>
      <c r="X7" s="30"/>
      <c r="Y7" s="30"/>
      <c r="Z7" s="46"/>
    </row>
    <row r="8" spans="1:26" x14ac:dyDescent="0.35">
      <c r="A8" s="75"/>
      <c r="B8" s="76" t="s">
        <v>19</v>
      </c>
      <c r="C8" s="76" t="s">
        <v>20</v>
      </c>
      <c r="D8" s="33" t="s">
        <v>40</v>
      </c>
      <c r="E8" s="33" t="s">
        <v>41</v>
      </c>
      <c r="F8" s="33" t="s">
        <v>45</v>
      </c>
      <c r="G8" s="33" t="s">
        <v>28</v>
      </c>
      <c r="J8" s="32" t="s">
        <v>25</v>
      </c>
      <c r="K8" s="63">
        <v>5</v>
      </c>
    </row>
    <row r="9" spans="1:26" x14ac:dyDescent="0.35">
      <c r="A9" s="77">
        <v>38595</v>
      </c>
      <c r="B9" s="78">
        <v>1023.112</v>
      </c>
      <c r="C9" s="78">
        <v>624.00099999999998</v>
      </c>
      <c r="D9" s="49" t="s">
        <v>31</v>
      </c>
      <c r="E9" s="49" t="s">
        <v>31</v>
      </c>
      <c r="F9" s="49" t="s">
        <v>31</v>
      </c>
      <c r="G9" s="49" t="s">
        <v>31</v>
      </c>
      <c r="J9" s="32" t="s">
        <v>26</v>
      </c>
      <c r="K9" s="31">
        <f>240*K8/100</f>
        <v>12</v>
      </c>
      <c r="L9" s="66"/>
      <c r="X9" s="30"/>
      <c r="Y9" s="30"/>
      <c r="Z9" s="46"/>
    </row>
    <row r="10" spans="1:26" x14ac:dyDescent="0.35">
      <c r="A10" s="77">
        <v>38625</v>
      </c>
      <c r="B10" s="78">
        <v>1009.655</v>
      </c>
      <c r="C10" s="78">
        <v>622.23800000000006</v>
      </c>
      <c r="D10" s="47"/>
      <c r="E10" s="47"/>
      <c r="F10" s="47"/>
      <c r="G10" s="47"/>
      <c r="J10" s="32" t="s">
        <v>46</v>
      </c>
      <c r="K10" s="47"/>
      <c r="L10" s="66" t="s">
        <v>47</v>
      </c>
    </row>
    <row r="11" spans="1:26" x14ac:dyDescent="0.35">
      <c r="A11" s="77">
        <v>38656</v>
      </c>
      <c r="B11" s="78">
        <v>1001.972</v>
      </c>
      <c r="C11" s="78">
        <v>622.74400000000003</v>
      </c>
      <c r="D11" s="47"/>
      <c r="E11" s="47"/>
      <c r="F11" s="47"/>
      <c r="G11" s="47"/>
      <c r="J11" s="32" t="s">
        <v>23</v>
      </c>
      <c r="K11" s="50"/>
      <c r="L11" s="66"/>
    </row>
    <row r="12" spans="1:26" x14ac:dyDescent="0.35">
      <c r="A12" s="77">
        <v>38686</v>
      </c>
      <c r="B12" s="78">
        <v>1006.749</v>
      </c>
      <c r="C12" s="78">
        <v>630.16499999999996</v>
      </c>
      <c r="D12" s="47"/>
      <c r="E12" s="47"/>
      <c r="F12" s="47"/>
      <c r="G12" s="47"/>
      <c r="J12" s="32" t="s">
        <v>27</v>
      </c>
      <c r="K12" s="50"/>
    </row>
    <row r="13" spans="1:26" x14ac:dyDescent="0.35">
      <c r="A13" s="77">
        <v>38717</v>
      </c>
      <c r="B13" s="78">
        <v>1016.984</v>
      </c>
      <c r="C13" s="78">
        <v>638.87599999999998</v>
      </c>
      <c r="D13" s="47"/>
      <c r="E13" s="47"/>
      <c r="F13" s="47"/>
      <c r="G13" s="47"/>
      <c r="J13" s="32" t="s">
        <v>3</v>
      </c>
      <c r="K13" s="47"/>
      <c r="L13" s="66" t="s">
        <v>44</v>
      </c>
    </row>
    <row r="14" spans="1:26" x14ac:dyDescent="0.35">
      <c r="A14" s="77">
        <v>38748</v>
      </c>
      <c r="B14" s="78">
        <v>1014.164</v>
      </c>
      <c r="C14" s="78">
        <v>644.03599999999994</v>
      </c>
      <c r="D14" s="47"/>
      <c r="E14" s="47"/>
      <c r="F14" s="47"/>
      <c r="G14" s="47"/>
      <c r="J14" s="32" t="s">
        <v>4</v>
      </c>
      <c r="K14" s="47"/>
      <c r="L14" s="66" t="s">
        <v>44</v>
      </c>
    </row>
    <row r="15" spans="1:26" x14ac:dyDescent="0.35">
      <c r="A15" s="77">
        <v>38776</v>
      </c>
      <c r="B15" s="78">
        <v>1015.777</v>
      </c>
      <c r="C15" s="78">
        <v>644.71799999999996</v>
      </c>
      <c r="D15" s="47"/>
      <c r="E15" s="47"/>
      <c r="F15" s="47"/>
      <c r="G15" s="47"/>
    </row>
    <row r="16" spans="1:26" x14ac:dyDescent="0.35">
      <c r="A16" s="77">
        <v>38807</v>
      </c>
      <c r="B16" s="78">
        <v>1005.254</v>
      </c>
      <c r="C16" s="78">
        <v>635.07500000000005</v>
      </c>
      <c r="D16" s="47"/>
      <c r="E16" s="47"/>
      <c r="F16" s="47"/>
      <c r="G16" s="47"/>
      <c r="I16" s="67" t="s">
        <v>48</v>
      </c>
      <c r="J16" s="68"/>
      <c r="K16" s="68"/>
      <c r="L16" s="68"/>
      <c r="M16" s="69"/>
    </row>
    <row r="17" spans="1:13" x14ac:dyDescent="0.35">
      <c r="A17" s="77">
        <v>38837</v>
      </c>
      <c r="B17" s="78">
        <v>1001.107</v>
      </c>
      <c r="C17" s="78">
        <v>625.48199999999997</v>
      </c>
      <c r="D17" s="47"/>
      <c r="E17" s="47"/>
      <c r="F17" s="47"/>
      <c r="G17" s="47"/>
      <c r="I17" s="32"/>
      <c r="J17" s="32"/>
      <c r="K17" s="35" t="s">
        <v>29</v>
      </c>
      <c r="L17" s="35" t="s">
        <v>3</v>
      </c>
      <c r="M17" s="35" t="s">
        <v>4</v>
      </c>
    </row>
    <row r="18" spans="1:13" x14ac:dyDescent="0.35">
      <c r="A18" s="77">
        <v>38868</v>
      </c>
      <c r="B18" s="78">
        <v>1001.641</v>
      </c>
      <c r="C18" s="78">
        <v>630.08100000000002</v>
      </c>
      <c r="D18" s="47"/>
      <c r="E18" s="47"/>
      <c r="F18" s="47"/>
      <c r="G18" s="47"/>
      <c r="H18" s="64"/>
      <c r="I18" s="31">
        <f>I19*-1</f>
        <v>0</v>
      </c>
      <c r="J18" s="31">
        <f>I18</f>
        <v>0</v>
      </c>
      <c r="K18" s="50">
        <f>$I18-K12</f>
        <v>0</v>
      </c>
      <c r="L18" s="50">
        <f>$I18-K13</f>
        <v>0</v>
      </c>
      <c r="M18" s="50">
        <f>$I18-K14</f>
        <v>0</v>
      </c>
    </row>
    <row r="19" spans="1:13" x14ac:dyDescent="0.35">
      <c r="A19" s="77">
        <v>38898</v>
      </c>
      <c r="B19" s="78">
        <v>1004.8</v>
      </c>
      <c r="C19" s="78">
        <v>626.66099999999994</v>
      </c>
      <c r="D19" s="47"/>
      <c r="E19" s="47"/>
      <c r="F19" s="47"/>
      <c r="G19" s="47"/>
      <c r="I19" s="65">
        <f>ROUNDUP(MAX(D9:G249),0)</f>
        <v>0</v>
      </c>
      <c r="J19" s="65">
        <f>I19</f>
        <v>0</v>
      </c>
      <c r="K19" s="50">
        <f>$I19-K12</f>
        <v>0</v>
      </c>
      <c r="L19" s="50">
        <f>$I19-K13</f>
        <v>0</v>
      </c>
      <c r="M19" s="50">
        <f>$I19-K14</f>
        <v>0</v>
      </c>
    </row>
    <row r="20" spans="1:13" x14ac:dyDescent="0.35">
      <c r="A20" s="77">
        <v>38929</v>
      </c>
      <c r="B20" s="78">
        <v>1017.011</v>
      </c>
      <c r="C20" s="78">
        <v>635.16200000000003</v>
      </c>
      <c r="D20" s="47"/>
      <c r="E20" s="47"/>
      <c r="F20" s="47"/>
      <c r="G20" s="47"/>
    </row>
    <row r="21" spans="1:13" x14ac:dyDescent="0.35">
      <c r="A21" s="77">
        <v>38960</v>
      </c>
      <c r="B21" s="78">
        <v>1031.9069999999999</v>
      </c>
      <c r="C21" s="78">
        <v>642.03700000000003</v>
      </c>
      <c r="D21" s="47"/>
      <c r="E21" s="47"/>
      <c r="F21" s="47"/>
      <c r="G21" s="47"/>
    </row>
    <row r="22" spans="1:13" x14ac:dyDescent="0.35">
      <c r="A22" s="77">
        <v>38990</v>
      </c>
      <c r="B22" s="78">
        <v>1041.3689999999999</v>
      </c>
      <c r="C22" s="78">
        <v>644.827</v>
      </c>
      <c r="D22" s="47"/>
      <c r="E22" s="47"/>
      <c r="F22" s="47"/>
      <c r="G22" s="47"/>
    </row>
    <row r="23" spans="1:13" x14ac:dyDescent="0.35">
      <c r="A23" s="77">
        <v>39021</v>
      </c>
      <c r="B23" s="78">
        <v>1046.6990000000001</v>
      </c>
      <c r="C23" s="78">
        <v>650.26099999999997</v>
      </c>
      <c r="D23" s="47"/>
      <c r="E23" s="47"/>
      <c r="F23" s="47"/>
      <c r="G23" s="47"/>
    </row>
    <row r="24" spans="1:13" x14ac:dyDescent="0.35">
      <c r="A24" s="77">
        <v>39051</v>
      </c>
      <c r="B24" s="78">
        <v>1057.5730000000001</v>
      </c>
      <c r="C24" s="78">
        <v>650.88499999999999</v>
      </c>
      <c r="D24" s="47"/>
      <c r="E24" s="47"/>
      <c r="F24" s="47"/>
      <c r="G24" s="47"/>
    </row>
    <row r="25" spans="1:13" x14ac:dyDescent="0.35">
      <c r="A25" s="77">
        <v>39082</v>
      </c>
      <c r="B25" s="78">
        <v>1048.8910000000001</v>
      </c>
      <c r="C25" s="78">
        <v>642.58500000000004</v>
      </c>
      <c r="D25" s="47"/>
      <c r="E25" s="47"/>
      <c r="F25" s="47"/>
      <c r="G25" s="47"/>
    </row>
    <row r="26" spans="1:13" x14ac:dyDescent="0.35">
      <c r="A26" s="77">
        <v>39113</v>
      </c>
      <c r="B26" s="78">
        <v>1047.29</v>
      </c>
      <c r="C26" s="78">
        <v>633.09699999999998</v>
      </c>
      <c r="D26" s="47"/>
      <c r="E26" s="47"/>
      <c r="F26" s="47"/>
      <c r="G26" s="47"/>
    </row>
    <row r="27" spans="1:13" x14ac:dyDescent="0.35">
      <c r="A27" s="77">
        <v>39141</v>
      </c>
      <c r="B27" s="78">
        <v>1064.5640000000001</v>
      </c>
      <c r="C27" s="78">
        <v>644.39</v>
      </c>
      <c r="D27" s="47"/>
      <c r="E27" s="47"/>
      <c r="F27" s="47"/>
      <c r="G27" s="47"/>
    </row>
    <row r="28" spans="1:13" x14ac:dyDescent="0.35">
      <c r="A28" s="77">
        <v>39172</v>
      </c>
      <c r="B28" s="78">
        <v>1063.9659999999999</v>
      </c>
      <c r="C28" s="78">
        <v>637.26</v>
      </c>
      <c r="D28" s="47"/>
      <c r="E28" s="47"/>
      <c r="F28" s="47"/>
      <c r="G28" s="47"/>
    </row>
    <row r="29" spans="1:13" x14ac:dyDescent="0.35">
      <c r="A29" s="77">
        <v>39202</v>
      </c>
      <c r="B29" s="78">
        <v>1069.5550000000001</v>
      </c>
      <c r="C29" s="78">
        <v>634.95500000000004</v>
      </c>
      <c r="D29" s="47"/>
      <c r="E29" s="47"/>
      <c r="F29" s="47"/>
      <c r="G29" s="47"/>
    </row>
    <row r="30" spans="1:13" x14ac:dyDescent="0.35">
      <c r="A30" s="77">
        <v>39233</v>
      </c>
      <c r="B30" s="78">
        <v>1060.2550000000001</v>
      </c>
      <c r="C30" s="78">
        <v>628.48800000000006</v>
      </c>
      <c r="D30" s="47"/>
      <c r="E30" s="47"/>
      <c r="F30" s="47"/>
      <c r="G30" s="47"/>
    </row>
    <row r="31" spans="1:13" x14ac:dyDescent="0.35">
      <c r="A31" s="77">
        <v>39263</v>
      </c>
      <c r="B31" s="78">
        <v>1059.7</v>
      </c>
      <c r="C31" s="78">
        <v>620.149</v>
      </c>
      <c r="D31" s="47"/>
      <c r="E31" s="47"/>
      <c r="F31" s="47"/>
      <c r="G31" s="47"/>
    </row>
    <row r="32" spans="1:13" x14ac:dyDescent="0.35">
      <c r="A32" s="77">
        <v>39294</v>
      </c>
      <c r="B32" s="78">
        <v>1077.2929999999999</v>
      </c>
      <c r="C32" s="78">
        <v>636.64499999999998</v>
      </c>
      <c r="D32" s="47"/>
      <c r="E32" s="47"/>
      <c r="F32" s="47"/>
      <c r="G32" s="47"/>
    </row>
    <row r="33" spans="1:7" x14ac:dyDescent="0.35">
      <c r="A33" s="77">
        <v>39325</v>
      </c>
      <c r="B33" s="78">
        <v>1094.2729999999999</v>
      </c>
      <c r="C33" s="78">
        <v>646.60599999999999</v>
      </c>
      <c r="D33" s="47"/>
      <c r="E33" s="47"/>
      <c r="F33" s="47"/>
      <c r="G33" s="47"/>
    </row>
    <row r="34" spans="1:7" x14ac:dyDescent="0.35">
      <c r="A34" s="77">
        <v>39355</v>
      </c>
      <c r="B34" s="78">
        <v>1100.1420000000001</v>
      </c>
      <c r="C34" s="78">
        <v>646.51700000000005</v>
      </c>
      <c r="D34" s="47"/>
      <c r="E34" s="47"/>
      <c r="F34" s="47"/>
      <c r="G34" s="47"/>
    </row>
    <row r="35" spans="1:7" x14ac:dyDescent="0.35">
      <c r="A35" s="77">
        <v>39386</v>
      </c>
      <c r="B35" s="78">
        <v>1108.7829999999999</v>
      </c>
      <c r="C35" s="78">
        <v>652.40200000000004</v>
      </c>
      <c r="D35" s="47"/>
      <c r="E35" s="47"/>
      <c r="F35" s="47"/>
      <c r="G35" s="47"/>
    </row>
    <row r="36" spans="1:7" x14ac:dyDescent="0.35">
      <c r="A36" s="77">
        <v>39416</v>
      </c>
      <c r="B36" s="78">
        <v>1142.482</v>
      </c>
      <c r="C36" s="78">
        <v>664.21</v>
      </c>
      <c r="D36" s="47"/>
      <c r="E36" s="47"/>
      <c r="F36" s="47"/>
      <c r="G36" s="47"/>
    </row>
    <row r="37" spans="1:7" x14ac:dyDescent="0.35">
      <c r="A37" s="77">
        <v>39447</v>
      </c>
      <c r="B37" s="78">
        <v>1143.8689999999999</v>
      </c>
      <c r="C37" s="78">
        <v>676.01599999999996</v>
      </c>
      <c r="D37" s="47"/>
      <c r="E37" s="47"/>
      <c r="F37" s="47"/>
      <c r="G37" s="47"/>
    </row>
    <row r="38" spans="1:7" x14ac:dyDescent="0.35">
      <c r="A38" s="77">
        <v>39478</v>
      </c>
      <c r="B38" s="78">
        <v>1172.7260000000001</v>
      </c>
      <c r="C38" s="78">
        <v>678.32500000000005</v>
      </c>
      <c r="D38" s="47"/>
      <c r="E38" s="47"/>
      <c r="F38" s="47"/>
      <c r="G38" s="47"/>
    </row>
    <row r="39" spans="1:7" x14ac:dyDescent="0.35">
      <c r="A39" s="77">
        <v>39507</v>
      </c>
      <c r="B39" s="78">
        <v>1185.4780000000001</v>
      </c>
      <c r="C39" s="78">
        <v>680.452</v>
      </c>
      <c r="D39" s="47"/>
      <c r="E39" s="47"/>
      <c r="F39" s="47"/>
      <c r="G39" s="47"/>
    </row>
    <row r="40" spans="1:7" x14ac:dyDescent="0.35">
      <c r="A40" s="77">
        <v>39538</v>
      </c>
      <c r="B40" s="78">
        <v>1194.075</v>
      </c>
      <c r="C40" s="78">
        <v>685.779</v>
      </c>
      <c r="D40" s="47"/>
      <c r="E40" s="47"/>
      <c r="F40" s="47"/>
      <c r="G40" s="47"/>
    </row>
    <row r="41" spans="1:7" x14ac:dyDescent="0.35">
      <c r="A41" s="77">
        <v>39568</v>
      </c>
      <c r="B41" s="78">
        <v>1173.835</v>
      </c>
      <c r="C41" s="78">
        <v>674.76700000000005</v>
      </c>
      <c r="D41" s="47"/>
      <c r="E41" s="47"/>
      <c r="F41" s="47"/>
      <c r="G41" s="47"/>
    </row>
    <row r="42" spans="1:7" x14ac:dyDescent="0.35">
      <c r="A42" s="77">
        <v>39599</v>
      </c>
      <c r="B42" s="78">
        <v>1159.691</v>
      </c>
      <c r="C42" s="78">
        <v>663.43799999999999</v>
      </c>
      <c r="D42" s="47"/>
      <c r="E42" s="47"/>
      <c r="F42" s="47"/>
      <c r="G42" s="47"/>
    </row>
    <row r="43" spans="1:7" x14ac:dyDescent="0.35">
      <c r="A43" s="77">
        <v>39629</v>
      </c>
      <c r="B43" s="78">
        <v>1169.3679999999999</v>
      </c>
      <c r="C43" s="78">
        <v>658.98400000000004</v>
      </c>
      <c r="D43" s="47"/>
      <c r="E43" s="47"/>
      <c r="F43" s="47"/>
      <c r="G43" s="47"/>
    </row>
    <row r="44" spans="1:7" x14ac:dyDescent="0.35">
      <c r="A44" s="77">
        <v>39660</v>
      </c>
      <c r="B44" s="78">
        <v>1174.0329999999999</v>
      </c>
      <c r="C44" s="78">
        <v>676.63</v>
      </c>
      <c r="D44" s="47"/>
      <c r="E44" s="47"/>
      <c r="F44" s="47"/>
      <c r="G44" s="47"/>
    </row>
    <row r="45" spans="1:7" x14ac:dyDescent="0.35">
      <c r="A45" s="77">
        <v>39691</v>
      </c>
      <c r="B45" s="78">
        <v>1188.829</v>
      </c>
      <c r="C45" s="78">
        <v>690.65899999999999</v>
      </c>
      <c r="D45" s="47"/>
      <c r="E45" s="47"/>
      <c r="F45" s="47"/>
      <c r="G45" s="47"/>
    </row>
    <row r="46" spans="1:7" x14ac:dyDescent="0.35">
      <c r="A46" s="77">
        <v>39721</v>
      </c>
      <c r="B46" s="78">
        <v>1196.6130000000001</v>
      </c>
      <c r="C46" s="78">
        <v>691.14</v>
      </c>
      <c r="D46" s="47"/>
      <c r="E46" s="47"/>
      <c r="F46" s="47"/>
      <c r="G46" s="47"/>
    </row>
    <row r="47" spans="1:7" x14ac:dyDescent="0.35">
      <c r="A47" s="77">
        <v>39752</v>
      </c>
      <c r="B47" s="78">
        <v>1194.8699999999999</v>
      </c>
      <c r="C47" s="78">
        <v>692.75699999999995</v>
      </c>
      <c r="D47" s="47"/>
      <c r="E47" s="47"/>
      <c r="F47" s="47"/>
      <c r="G47" s="47"/>
    </row>
    <row r="48" spans="1:7" x14ac:dyDescent="0.35">
      <c r="A48" s="77">
        <v>39782</v>
      </c>
      <c r="B48" s="78">
        <v>1259.124</v>
      </c>
      <c r="C48" s="78">
        <v>724.90700000000004</v>
      </c>
      <c r="D48" s="47"/>
      <c r="E48" s="47"/>
      <c r="F48" s="47"/>
      <c r="G48" s="47"/>
    </row>
    <row r="49" spans="1:7" x14ac:dyDescent="0.35">
      <c r="A49" s="77">
        <v>39813</v>
      </c>
      <c r="B49" s="78">
        <v>1303.7529999999999</v>
      </c>
      <c r="C49" s="78">
        <v>764.221</v>
      </c>
      <c r="D49" s="47"/>
      <c r="E49" s="47"/>
      <c r="F49" s="47"/>
      <c r="G49" s="47"/>
    </row>
    <row r="50" spans="1:7" x14ac:dyDescent="0.35">
      <c r="A50" s="77">
        <v>39844</v>
      </c>
      <c r="B50" s="78">
        <v>1263.5820000000001</v>
      </c>
      <c r="C50" s="78">
        <v>727.58799999999997</v>
      </c>
      <c r="D50" s="47"/>
      <c r="E50" s="47"/>
      <c r="F50" s="47"/>
      <c r="G50" s="47"/>
    </row>
    <row r="51" spans="1:7" x14ac:dyDescent="0.35">
      <c r="A51" s="77">
        <v>39872</v>
      </c>
      <c r="B51" s="78">
        <v>1256.712</v>
      </c>
      <c r="C51" s="78">
        <v>738.72799999999995</v>
      </c>
      <c r="D51" s="47"/>
      <c r="E51" s="47"/>
      <c r="F51" s="47"/>
      <c r="G51" s="47"/>
    </row>
    <row r="52" spans="1:7" x14ac:dyDescent="0.35">
      <c r="A52" s="77">
        <v>39903</v>
      </c>
      <c r="B52" s="78">
        <v>1285.127</v>
      </c>
      <c r="C52" s="78">
        <v>758.29399999999998</v>
      </c>
      <c r="D52" s="47"/>
      <c r="E52" s="47"/>
      <c r="F52" s="47"/>
      <c r="G52" s="47"/>
    </row>
    <row r="53" spans="1:7" x14ac:dyDescent="0.35">
      <c r="A53" s="77">
        <v>39933</v>
      </c>
      <c r="B53" s="78">
        <v>1260.7280000000001</v>
      </c>
      <c r="C53" s="78">
        <v>747.80700000000002</v>
      </c>
      <c r="D53" s="47"/>
      <c r="E53" s="47"/>
      <c r="F53" s="47"/>
      <c r="G53" s="47"/>
    </row>
    <row r="54" spans="1:7" x14ac:dyDescent="0.35">
      <c r="A54" s="77">
        <v>39964</v>
      </c>
      <c r="B54" s="78">
        <v>1248.008</v>
      </c>
      <c r="C54" s="78">
        <v>741.05799999999999</v>
      </c>
      <c r="D54" s="47"/>
      <c r="E54" s="47"/>
      <c r="F54" s="47"/>
      <c r="G54" s="47"/>
    </row>
    <row r="55" spans="1:7" x14ac:dyDescent="0.35">
      <c r="A55" s="77">
        <v>39994</v>
      </c>
      <c r="B55" s="78">
        <v>1245.548</v>
      </c>
      <c r="C55" s="78">
        <v>747.13199999999995</v>
      </c>
      <c r="D55" s="47"/>
      <c r="E55" s="47"/>
      <c r="F55" s="47"/>
      <c r="G55" s="47"/>
    </row>
    <row r="56" spans="1:7" x14ac:dyDescent="0.35">
      <c r="A56" s="77">
        <v>40025</v>
      </c>
      <c r="B56" s="78">
        <v>1250.5550000000001</v>
      </c>
      <c r="C56" s="78">
        <v>741.24300000000005</v>
      </c>
      <c r="D56" s="47"/>
      <c r="E56" s="47"/>
      <c r="F56" s="47"/>
      <c r="G56" s="47"/>
    </row>
    <row r="57" spans="1:7" x14ac:dyDescent="0.35">
      <c r="A57" s="77">
        <v>40056</v>
      </c>
      <c r="B57" s="78">
        <v>1262.1780000000001</v>
      </c>
      <c r="C57" s="78">
        <v>770.23099999999999</v>
      </c>
      <c r="D57" s="47"/>
      <c r="E57" s="47"/>
      <c r="F57" s="47"/>
      <c r="G57" s="47"/>
    </row>
    <row r="58" spans="1:7" x14ac:dyDescent="0.35">
      <c r="A58" s="77">
        <v>40086</v>
      </c>
      <c r="B58" s="78">
        <v>1272.0999999999999</v>
      </c>
      <c r="C58" s="78">
        <v>771.68499999999995</v>
      </c>
      <c r="D58" s="47"/>
      <c r="E58" s="47"/>
      <c r="F58" s="47"/>
      <c r="G58" s="47"/>
    </row>
    <row r="59" spans="1:7" x14ac:dyDescent="0.35">
      <c r="A59" s="77">
        <v>40117</v>
      </c>
      <c r="B59" s="78">
        <v>1271.3689999999999</v>
      </c>
      <c r="C59" s="78">
        <v>769.673</v>
      </c>
      <c r="D59" s="47"/>
      <c r="E59" s="47"/>
      <c r="F59" s="47"/>
      <c r="G59" s="47"/>
    </row>
    <row r="60" spans="1:7" x14ac:dyDescent="0.35">
      <c r="A60" s="77">
        <v>40147</v>
      </c>
      <c r="B60" s="78">
        <v>1289.318</v>
      </c>
      <c r="C60" s="78">
        <v>776.61</v>
      </c>
      <c r="D60" s="47"/>
      <c r="E60" s="47"/>
      <c r="F60" s="47"/>
      <c r="G60" s="47"/>
    </row>
    <row r="61" spans="1:7" x14ac:dyDescent="0.35">
      <c r="A61" s="77">
        <v>40178</v>
      </c>
      <c r="B61" s="78">
        <v>1255.296</v>
      </c>
      <c r="C61" s="78">
        <v>754.596</v>
      </c>
      <c r="D61" s="47"/>
      <c r="E61" s="47"/>
      <c r="F61" s="47"/>
      <c r="G61" s="47"/>
    </row>
    <row r="62" spans="1:7" x14ac:dyDescent="0.35">
      <c r="A62" s="77">
        <v>40209</v>
      </c>
      <c r="B62" s="78">
        <v>1275.1110000000001</v>
      </c>
      <c r="C62" s="78">
        <v>760.62199999999996</v>
      </c>
      <c r="D62" s="47"/>
      <c r="E62" s="47"/>
      <c r="F62" s="47"/>
      <c r="G62" s="47"/>
    </row>
    <row r="63" spans="1:7" x14ac:dyDescent="0.35">
      <c r="A63" s="77">
        <v>40237</v>
      </c>
      <c r="B63" s="78">
        <v>1280.1420000000001</v>
      </c>
      <c r="C63" s="78">
        <v>757.62699999999995</v>
      </c>
      <c r="D63" s="47"/>
      <c r="E63" s="47"/>
      <c r="F63" s="47"/>
      <c r="G63" s="47"/>
    </row>
    <row r="64" spans="1:7" x14ac:dyDescent="0.35">
      <c r="A64" s="77">
        <v>40268</v>
      </c>
      <c r="B64" s="78">
        <v>1269.2460000000001</v>
      </c>
      <c r="C64" s="78">
        <v>764.21500000000003</v>
      </c>
      <c r="D64" s="47"/>
      <c r="E64" s="47"/>
      <c r="F64" s="47"/>
      <c r="G64" s="47"/>
    </row>
    <row r="65" spans="1:7" x14ac:dyDescent="0.35">
      <c r="A65" s="77">
        <v>40298</v>
      </c>
      <c r="B65" s="78">
        <v>1282.6489999999999</v>
      </c>
      <c r="C65" s="78">
        <v>769.06600000000003</v>
      </c>
      <c r="D65" s="47"/>
      <c r="E65" s="47"/>
      <c r="F65" s="47"/>
      <c r="G65" s="47"/>
    </row>
    <row r="66" spans="1:7" x14ac:dyDescent="0.35">
      <c r="A66" s="77">
        <v>40329</v>
      </c>
      <c r="B66" s="78">
        <v>1304.7270000000001</v>
      </c>
      <c r="C66" s="78">
        <v>787.73199999999997</v>
      </c>
      <c r="D66" s="47"/>
      <c r="E66" s="47"/>
      <c r="F66" s="47"/>
      <c r="G66" s="47"/>
    </row>
    <row r="67" spans="1:7" x14ac:dyDescent="0.35">
      <c r="A67" s="77">
        <v>40359</v>
      </c>
      <c r="B67" s="78">
        <v>1329.124</v>
      </c>
      <c r="C67" s="78">
        <v>800.28700000000003</v>
      </c>
      <c r="D67" s="47"/>
      <c r="E67" s="47"/>
      <c r="F67" s="47"/>
      <c r="G67" s="47"/>
    </row>
    <row r="68" spans="1:7" x14ac:dyDescent="0.35">
      <c r="A68" s="77">
        <v>40390</v>
      </c>
      <c r="B68" s="78">
        <v>1338.107</v>
      </c>
      <c r="C68" s="78">
        <v>798.03800000000001</v>
      </c>
      <c r="D68" s="47"/>
      <c r="E68" s="47"/>
      <c r="F68" s="47"/>
      <c r="G68" s="47"/>
    </row>
    <row r="69" spans="1:7" x14ac:dyDescent="0.35">
      <c r="A69" s="77">
        <v>40421</v>
      </c>
      <c r="B69" s="78">
        <v>1365.5039999999999</v>
      </c>
      <c r="C69" s="78">
        <v>835.54300000000001</v>
      </c>
      <c r="D69" s="47"/>
      <c r="E69" s="47"/>
      <c r="F69" s="47"/>
      <c r="G69" s="47"/>
    </row>
    <row r="70" spans="1:7" x14ac:dyDescent="0.35">
      <c r="A70" s="77">
        <v>40451</v>
      </c>
      <c r="B70" s="78">
        <v>1365.54</v>
      </c>
      <c r="C70" s="78">
        <v>830.68600000000004</v>
      </c>
      <c r="D70" s="47"/>
      <c r="E70" s="47"/>
      <c r="F70" s="47"/>
      <c r="G70" s="47"/>
    </row>
    <row r="71" spans="1:7" x14ac:dyDescent="0.35">
      <c r="A71" s="77">
        <v>40482</v>
      </c>
      <c r="B71" s="78">
        <v>1363.1030000000001</v>
      </c>
      <c r="C71" s="78">
        <v>818.82100000000003</v>
      </c>
      <c r="D71" s="47"/>
      <c r="E71" s="47"/>
      <c r="F71" s="47"/>
      <c r="G71" s="47"/>
    </row>
    <row r="72" spans="1:7" x14ac:dyDescent="0.35">
      <c r="A72" s="77">
        <v>40512</v>
      </c>
      <c r="B72" s="78">
        <v>1353.8140000000001</v>
      </c>
      <c r="C72" s="78">
        <v>813.54</v>
      </c>
      <c r="D72" s="47"/>
      <c r="E72" s="47"/>
      <c r="F72" s="47"/>
      <c r="G72" s="47"/>
    </row>
    <row r="73" spans="1:7" x14ac:dyDescent="0.35">
      <c r="A73" s="77">
        <v>40543</v>
      </c>
      <c r="B73" s="78">
        <v>1329.1110000000001</v>
      </c>
      <c r="C73" s="78">
        <v>811.93600000000004</v>
      </c>
      <c r="D73" s="47"/>
      <c r="E73" s="47"/>
      <c r="F73" s="47"/>
      <c r="G73" s="47"/>
    </row>
    <row r="74" spans="1:7" x14ac:dyDescent="0.35">
      <c r="A74" s="77">
        <v>40574</v>
      </c>
      <c r="B74" s="78">
        <v>1329.1980000000001</v>
      </c>
      <c r="C74" s="78">
        <v>796.33399999999995</v>
      </c>
      <c r="D74" s="47"/>
      <c r="E74" s="47"/>
      <c r="F74" s="47"/>
      <c r="G74" s="47"/>
    </row>
    <row r="75" spans="1:7" x14ac:dyDescent="0.35">
      <c r="A75" s="77">
        <v>40602</v>
      </c>
      <c r="B75" s="78">
        <v>1328.0650000000001</v>
      </c>
      <c r="C75" s="78">
        <v>802.52599999999995</v>
      </c>
      <c r="D75" s="47"/>
      <c r="E75" s="47"/>
      <c r="F75" s="47"/>
      <c r="G75" s="47"/>
    </row>
    <row r="76" spans="1:7" x14ac:dyDescent="0.35">
      <c r="A76" s="77">
        <v>40633</v>
      </c>
      <c r="B76" s="78">
        <v>1327.31</v>
      </c>
      <c r="C76" s="78">
        <v>805.57299999999998</v>
      </c>
      <c r="D76" s="47"/>
      <c r="E76" s="47"/>
      <c r="F76" s="47"/>
      <c r="G76" s="47"/>
    </row>
    <row r="77" spans="1:7" x14ac:dyDescent="0.35">
      <c r="A77" s="77">
        <v>40663</v>
      </c>
      <c r="B77" s="78">
        <v>1342.6220000000001</v>
      </c>
      <c r="C77" s="78">
        <v>821.16800000000001</v>
      </c>
      <c r="D77" s="47"/>
      <c r="E77" s="47"/>
      <c r="F77" s="47"/>
      <c r="G77" s="47"/>
    </row>
    <row r="78" spans="1:7" x14ac:dyDescent="0.35">
      <c r="A78" s="77">
        <v>40694</v>
      </c>
      <c r="B78" s="78">
        <v>1363.836</v>
      </c>
      <c r="C78" s="78">
        <v>831.80499999999995</v>
      </c>
      <c r="D78" s="47"/>
      <c r="E78" s="47"/>
      <c r="F78" s="47"/>
      <c r="G78" s="47"/>
    </row>
    <row r="79" spans="1:7" x14ac:dyDescent="0.35">
      <c r="A79" s="77">
        <v>40724</v>
      </c>
      <c r="B79" s="78">
        <v>1359.6489999999999</v>
      </c>
      <c r="C79" s="78">
        <v>826.37800000000004</v>
      </c>
      <c r="D79" s="47"/>
      <c r="E79" s="47"/>
      <c r="F79" s="47"/>
      <c r="G79" s="47"/>
    </row>
    <row r="80" spans="1:7" x14ac:dyDescent="0.35">
      <c r="A80" s="77">
        <v>40755</v>
      </c>
      <c r="B80" s="78">
        <v>1384.473</v>
      </c>
      <c r="C80" s="78">
        <v>855.66200000000003</v>
      </c>
      <c r="D80" s="47"/>
      <c r="E80" s="47"/>
      <c r="F80" s="47"/>
      <c r="G80" s="47"/>
    </row>
    <row r="81" spans="1:7" x14ac:dyDescent="0.35">
      <c r="A81" s="77">
        <v>40786</v>
      </c>
      <c r="B81" s="78">
        <v>1423.2639999999999</v>
      </c>
      <c r="C81" s="78">
        <v>874.28899999999999</v>
      </c>
      <c r="D81" s="47"/>
      <c r="E81" s="47"/>
      <c r="F81" s="47"/>
      <c r="G81" s="47"/>
    </row>
    <row r="82" spans="1:7" x14ac:dyDescent="0.35">
      <c r="A82" s="77">
        <v>40816</v>
      </c>
      <c r="B82" s="78">
        <v>1446.07</v>
      </c>
      <c r="C82" s="78">
        <v>899.80799999999999</v>
      </c>
      <c r="D82" s="47"/>
      <c r="E82" s="47"/>
      <c r="F82" s="47"/>
      <c r="G82" s="47"/>
    </row>
    <row r="83" spans="1:7" x14ac:dyDescent="0.35">
      <c r="A83" s="77">
        <v>40847</v>
      </c>
      <c r="B83" s="78">
        <v>1435.087</v>
      </c>
      <c r="C83" s="78">
        <v>910.20100000000002</v>
      </c>
      <c r="D83" s="47"/>
      <c r="E83" s="47"/>
      <c r="F83" s="47"/>
      <c r="G83" s="47"/>
    </row>
    <row r="84" spans="1:7" x14ac:dyDescent="0.35">
      <c r="A84" s="77">
        <v>40877</v>
      </c>
      <c r="B84" s="78">
        <v>1445.568</v>
      </c>
      <c r="C84" s="78">
        <v>933.38599999999997</v>
      </c>
      <c r="D84" s="47"/>
      <c r="E84" s="47"/>
      <c r="F84" s="47"/>
      <c r="G84" s="47"/>
    </row>
    <row r="85" spans="1:7" x14ac:dyDescent="0.35">
      <c r="A85" s="77">
        <v>40908</v>
      </c>
      <c r="B85" s="78">
        <v>1459.2380000000001</v>
      </c>
      <c r="C85" s="78">
        <v>949.27700000000004</v>
      </c>
      <c r="D85" s="47"/>
      <c r="E85" s="47"/>
      <c r="F85" s="47"/>
      <c r="G85" s="47"/>
    </row>
    <row r="86" spans="1:7" x14ac:dyDescent="0.35">
      <c r="A86" s="77">
        <v>40939</v>
      </c>
      <c r="B86" s="78">
        <v>1465.818</v>
      </c>
      <c r="C86" s="78">
        <v>951.41300000000001</v>
      </c>
      <c r="D86" s="47"/>
      <c r="E86" s="47"/>
      <c r="F86" s="47"/>
      <c r="G86" s="47"/>
    </row>
    <row r="87" spans="1:7" x14ac:dyDescent="0.35">
      <c r="A87" s="77">
        <v>40968</v>
      </c>
      <c r="B87" s="78">
        <v>1455.422</v>
      </c>
      <c r="C87" s="78">
        <v>938.87800000000004</v>
      </c>
      <c r="D87" s="47"/>
      <c r="E87" s="47"/>
      <c r="F87" s="47"/>
      <c r="G87" s="47"/>
    </row>
    <row r="88" spans="1:7" x14ac:dyDescent="0.35">
      <c r="A88" s="77">
        <v>40999</v>
      </c>
      <c r="B88" s="78">
        <v>1440.3979999999999</v>
      </c>
      <c r="C88" s="78">
        <v>931.05200000000002</v>
      </c>
      <c r="D88" s="47"/>
      <c r="E88" s="47"/>
      <c r="F88" s="47"/>
      <c r="G88" s="47"/>
    </row>
    <row r="89" spans="1:7" x14ac:dyDescent="0.35">
      <c r="A89" s="77">
        <v>41029</v>
      </c>
      <c r="B89" s="78">
        <v>1462.37</v>
      </c>
      <c r="C89" s="78">
        <v>936.12</v>
      </c>
      <c r="D89" s="47"/>
      <c r="E89" s="47"/>
      <c r="F89" s="47"/>
      <c r="G89" s="47"/>
    </row>
    <row r="90" spans="1:7" x14ac:dyDescent="0.35">
      <c r="A90" s="77">
        <v>41060</v>
      </c>
      <c r="B90" s="78">
        <v>1489.1690000000001</v>
      </c>
      <c r="C90" s="78">
        <v>976.89400000000001</v>
      </c>
      <c r="D90" s="47"/>
      <c r="E90" s="47"/>
      <c r="F90" s="47"/>
      <c r="G90" s="47"/>
    </row>
    <row r="91" spans="1:7" x14ac:dyDescent="0.35">
      <c r="A91" s="77">
        <v>41090</v>
      </c>
      <c r="B91" s="78">
        <v>1483.549</v>
      </c>
      <c r="C91" s="78">
        <v>967.56799999999998</v>
      </c>
      <c r="D91" s="47"/>
      <c r="E91" s="47"/>
      <c r="F91" s="47"/>
      <c r="G91" s="47"/>
    </row>
    <row r="92" spans="1:7" x14ac:dyDescent="0.35">
      <c r="A92" s="77">
        <v>41121</v>
      </c>
      <c r="B92" s="78">
        <v>1499.3779999999999</v>
      </c>
      <c r="C92" s="78">
        <v>988.12099999999998</v>
      </c>
      <c r="D92" s="47"/>
      <c r="E92" s="47"/>
      <c r="F92" s="47"/>
      <c r="G92" s="47"/>
    </row>
    <row r="93" spans="1:7" x14ac:dyDescent="0.35">
      <c r="A93" s="77">
        <v>41152</v>
      </c>
      <c r="B93" s="78">
        <v>1497.357</v>
      </c>
      <c r="C93" s="78">
        <v>986.28099999999995</v>
      </c>
      <c r="D93" s="47"/>
      <c r="E93" s="47"/>
      <c r="F93" s="47"/>
      <c r="G93" s="47"/>
    </row>
    <row r="94" spans="1:7" x14ac:dyDescent="0.35">
      <c r="A94" s="77">
        <v>41182</v>
      </c>
      <c r="B94" s="78">
        <v>1492.2059999999999</v>
      </c>
      <c r="C94" s="78">
        <v>979.11699999999996</v>
      </c>
      <c r="D94" s="47"/>
      <c r="E94" s="47"/>
      <c r="F94" s="47"/>
      <c r="G94" s="47"/>
    </row>
    <row r="95" spans="1:7" x14ac:dyDescent="0.35">
      <c r="A95" s="77">
        <v>41213</v>
      </c>
      <c r="B95" s="78">
        <v>1489.6220000000001</v>
      </c>
      <c r="C95" s="78">
        <v>972.18</v>
      </c>
      <c r="D95" s="47"/>
      <c r="E95" s="47"/>
      <c r="F95" s="47"/>
      <c r="G95" s="47"/>
    </row>
    <row r="96" spans="1:7" x14ac:dyDescent="0.35">
      <c r="A96" s="77">
        <v>41243</v>
      </c>
      <c r="B96" s="78">
        <v>1498.192</v>
      </c>
      <c r="C96" s="78">
        <v>980.447</v>
      </c>
      <c r="D96" s="47"/>
      <c r="E96" s="47"/>
      <c r="F96" s="47"/>
      <c r="G96" s="47"/>
    </row>
    <row r="97" spans="1:7" x14ac:dyDescent="0.35">
      <c r="A97" s="77">
        <v>41274</v>
      </c>
      <c r="B97" s="78">
        <v>1490.788</v>
      </c>
      <c r="C97" s="78">
        <v>975.88699999999994</v>
      </c>
      <c r="D97" s="47"/>
      <c r="E97" s="47"/>
      <c r="F97" s="47"/>
      <c r="G97" s="47"/>
    </row>
    <row r="98" spans="1:7" x14ac:dyDescent="0.35">
      <c r="A98" s="77">
        <v>41305</v>
      </c>
      <c r="B98" s="78">
        <v>1476.623</v>
      </c>
      <c r="C98" s="78">
        <v>955.86699999999996</v>
      </c>
      <c r="D98" s="47"/>
      <c r="E98" s="47"/>
      <c r="F98" s="47"/>
      <c r="G98" s="47"/>
    </row>
    <row r="99" spans="1:7" x14ac:dyDescent="0.35">
      <c r="A99" s="77">
        <v>41333</v>
      </c>
      <c r="B99" s="78">
        <v>1485.3910000000001</v>
      </c>
      <c r="C99" s="78">
        <v>964.26199999999994</v>
      </c>
      <c r="D99" s="47"/>
      <c r="E99" s="47"/>
      <c r="F99" s="47"/>
      <c r="G99" s="47"/>
    </row>
    <row r="100" spans="1:7" x14ac:dyDescent="0.35">
      <c r="A100" s="77">
        <v>41364</v>
      </c>
      <c r="B100" s="78">
        <v>1486.9860000000001</v>
      </c>
      <c r="C100" s="78">
        <v>981.43100000000004</v>
      </c>
      <c r="D100" s="47"/>
      <c r="E100" s="47"/>
      <c r="F100" s="47"/>
      <c r="G100" s="47"/>
    </row>
    <row r="101" spans="1:7" x14ac:dyDescent="0.35">
      <c r="A101" s="77">
        <v>41394</v>
      </c>
      <c r="B101" s="78">
        <v>1502.646</v>
      </c>
      <c r="C101" s="78">
        <v>992.81600000000003</v>
      </c>
      <c r="D101" s="47"/>
      <c r="E101" s="47"/>
      <c r="F101" s="47"/>
      <c r="G101" s="47"/>
    </row>
    <row r="102" spans="1:7" x14ac:dyDescent="0.35">
      <c r="A102" s="77">
        <v>41425</v>
      </c>
      <c r="B102" s="78">
        <v>1472.37</v>
      </c>
      <c r="C102" s="78">
        <v>966.69</v>
      </c>
      <c r="D102" s="47"/>
      <c r="E102" s="47"/>
      <c r="F102" s="47"/>
      <c r="G102" s="47"/>
    </row>
    <row r="103" spans="1:7" x14ac:dyDescent="0.35">
      <c r="A103" s="77">
        <v>41455</v>
      </c>
      <c r="B103" s="78">
        <v>1453.8910000000001</v>
      </c>
      <c r="C103" s="78">
        <v>943.51499999999999</v>
      </c>
      <c r="D103" s="47"/>
      <c r="E103" s="47"/>
      <c r="F103" s="47"/>
      <c r="G103" s="47"/>
    </row>
    <row r="104" spans="1:7" x14ac:dyDescent="0.35">
      <c r="A104" s="77">
        <v>41486</v>
      </c>
      <c r="B104" s="78">
        <v>1451.0630000000001</v>
      </c>
      <c r="C104" s="78">
        <v>951.18499999999995</v>
      </c>
      <c r="D104" s="47"/>
      <c r="E104" s="47"/>
      <c r="F104" s="47"/>
      <c r="G104" s="47"/>
    </row>
    <row r="105" spans="1:7" x14ac:dyDescent="0.35">
      <c r="A105" s="77">
        <v>41517</v>
      </c>
      <c r="B105" s="78">
        <v>1443.242</v>
      </c>
      <c r="C105" s="78">
        <v>940.70299999999997</v>
      </c>
      <c r="D105" s="47"/>
      <c r="E105" s="47"/>
      <c r="F105" s="47"/>
      <c r="G105" s="47"/>
    </row>
    <row r="106" spans="1:7" x14ac:dyDescent="0.35">
      <c r="A106" s="77">
        <v>41547</v>
      </c>
      <c r="B106" s="78">
        <v>1454.2639999999999</v>
      </c>
      <c r="C106" s="78">
        <v>948.29300000000001</v>
      </c>
      <c r="D106" s="47"/>
      <c r="E106" s="47"/>
      <c r="F106" s="47"/>
      <c r="G106" s="47"/>
    </row>
    <row r="107" spans="1:7" x14ac:dyDescent="0.35">
      <c r="A107" s="77">
        <v>41578</v>
      </c>
      <c r="B107" s="78">
        <v>1462.2339999999999</v>
      </c>
      <c r="C107" s="78">
        <v>954.89800000000002</v>
      </c>
      <c r="D107" s="47"/>
      <c r="E107" s="47"/>
      <c r="F107" s="47"/>
      <c r="G107" s="47"/>
    </row>
    <row r="108" spans="1:7" x14ac:dyDescent="0.35">
      <c r="A108" s="77">
        <v>41608</v>
      </c>
      <c r="B108" s="78">
        <v>1455.9860000000001</v>
      </c>
      <c r="C108" s="78">
        <v>945.726</v>
      </c>
      <c r="D108" s="47"/>
      <c r="E108" s="47"/>
      <c r="F108" s="47"/>
      <c r="G108" s="47"/>
    </row>
    <row r="109" spans="1:7" x14ac:dyDescent="0.35">
      <c r="A109" s="77">
        <v>41639</v>
      </c>
      <c r="B109" s="78">
        <v>1440.854</v>
      </c>
      <c r="C109" s="78">
        <v>934.39700000000005</v>
      </c>
      <c r="D109" s="47"/>
      <c r="E109" s="47"/>
      <c r="F109" s="47"/>
      <c r="G109" s="47"/>
    </row>
    <row r="110" spans="1:7" x14ac:dyDescent="0.35">
      <c r="A110" s="77">
        <v>41670</v>
      </c>
      <c r="B110" s="78">
        <v>1463.8630000000001</v>
      </c>
      <c r="C110" s="78">
        <v>954.01199999999994</v>
      </c>
      <c r="D110" s="47"/>
      <c r="E110" s="47"/>
      <c r="F110" s="47"/>
      <c r="G110" s="47"/>
    </row>
    <row r="111" spans="1:7" x14ac:dyDescent="0.35">
      <c r="A111" s="77">
        <v>41698</v>
      </c>
      <c r="B111" s="78">
        <v>1468.431</v>
      </c>
      <c r="C111" s="78">
        <v>955.42899999999997</v>
      </c>
      <c r="D111" s="47"/>
      <c r="E111" s="47"/>
      <c r="F111" s="47"/>
      <c r="G111" s="47"/>
    </row>
    <row r="112" spans="1:7" x14ac:dyDescent="0.35">
      <c r="A112" s="77">
        <v>41729</v>
      </c>
      <c r="B112" s="78">
        <v>1464.2929999999999</v>
      </c>
      <c r="C112" s="78">
        <v>955.81100000000004</v>
      </c>
      <c r="D112" s="47"/>
      <c r="E112" s="47"/>
      <c r="F112" s="47"/>
      <c r="G112" s="47"/>
    </row>
    <row r="113" spans="1:7" x14ac:dyDescent="0.35">
      <c r="A113" s="77">
        <v>41759</v>
      </c>
      <c r="B113" s="78">
        <v>1473.4349999999999</v>
      </c>
      <c r="C113" s="78">
        <v>962.84199999999998</v>
      </c>
      <c r="D113" s="47"/>
      <c r="E113" s="47"/>
      <c r="F113" s="47"/>
      <c r="G113" s="47"/>
    </row>
    <row r="114" spans="1:7" x14ac:dyDescent="0.35">
      <c r="A114" s="77">
        <v>41790</v>
      </c>
      <c r="B114" s="78">
        <v>1489.508</v>
      </c>
      <c r="C114" s="78">
        <v>972.07899999999995</v>
      </c>
      <c r="D114" s="47"/>
      <c r="E114" s="47"/>
      <c r="F114" s="47"/>
      <c r="G114" s="47"/>
    </row>
    <row r="115" spans="1:7" x14ac:dyDescent="0.35">
      <c r="A115" s="77">
        <v>41820</v>
      </c>
      <c r="B115" s="78">
        <v>1487.183</v>
      </c>
      <c r="C115" s="78">
        <v>966.678</v>
      </c>
      <c r="D115" s="47"/>
      <c r="E115" s="47"/>
      <c r="F115" s="47"/>
      <c r="G115" s="47"/>
    </row>
    <row r="116" spans="1:7" x14ac:dyDescent="0.35">
      <c r="A116" s="77">
        <v>41851</v>
      </c>
      <c r="B116" s="78">
        <v>1484.9580000000001</v>
      </c>
      <c r="C116" s="78">
        <v>977.00900000000001</v>
      </c>
      <c r="D116" s="47"/>
      <c r="E116" s="47"/>
      <c r="F116" s="47"/>
      <c r="G116" s="47"/>
    </row>
    <row r="117" spans="1:7" x14ac:dyDescent="0.35">
      <c r="A117" s="77">
        <v>41882</v>
      </c>
      <c r="B117" s="78">
        <v>1503.038</v>
      </c>
      <c r="C117" s="78">
        <v>1011.419</v>
      </c>
      <c r="D117" s="47"/>
      <c r="E117" s="47"/>
      <c r="F117" s="47"/>
      <c r="G117" s="47"/>
    </row>
    <row r="118" spans="1:7" x14ac:dyDescent="0.35">
      <c r="A118" s="77">
        <v>41912</v>
      </c>
      <c r="B118" s="78">
        <v>1493.5239999999999</v>
      </c>
      <c r="C118" s="78">
        <v>1004.67</v>
      </c>
      <c r="D118" s="47"/>
      <c r="E118" s="47"/>
      <c r="F118" s="47"/>
      <c r="G118" s="47"/>
    </row>
    <row r="119" spans="1:7" x14ac:dyDescent="0.35">
      <c r="A119" s="77">
        <v>41943</v>
      </c>
      <c r="B119" s="78">
        <v>1509.7380000000001</v>
      </c>
      <c r="C119" s="78">
        <v>1018.623</v>
      </c>
      <c r="D119" s="47"/>
      <c r="E119" s="47"/>
      <c r="F119" s="47"/>
      <c r="G119" s="47"/>
    </row>
    <row r="120" spans="1:7" x14ac:dyDescent="0.35">
      <c r="A120" s="77">
        <v>41973</v>
      </c>
      <c r="B120" s="78">
        <v>1523.6559999999999</v>
      </c>
      <c r="C120" s="78">
        <v>1051.922</v>
      </c>
      <c r="D120" s="47"/>
      <c r="E120" s="47"/>
      <c r="F120" s="47"/>
      <c r="G120" s="47"/>
    </row>
    <row r="121" spans="1:7" x14ac:dyDescent="0.35">
      <c r="A121" s="77">
        <v>42004</v>
      </c>
      <c r="B121" s="78">
        <v>1527.596</v>
      </c>
      <c r="C121" s="78">
        <v>1071.559</v>
      </c>
      <c r="D121" s="47"/>
      <c r="E121" s="47"/>
      <c r="F121" s="47"/>
      <c r="G121" s="47"/>
    </row>
    <row r="122" spans="1:7" x14ac:dyDescent="0.35">
      <c r="A122" s="77">
        <v>42035</v>
      </c>
      <c r="B122" s="78">
        <v>1571.633</v>
      </c>
      <c r="C122" s="78">
        <v>1123.4449999999999</v>
      </c>
      <c r="D122" s="47"/>
      <c r="E122" s="47"/>
      <c r="F122" s="47"/>
      <c r="G122" s="47"/>
    </row>
    <row r="123" spans="1:7" x14ac:dyDescent="0.35">
      <c r="A123" s="77">
        <v>42063</v>
      </c>
      <c r="B123" s="78">
        <v>1544.1579999999999</v>
      </c>
      <c r="C123" s="78">
        <v>1073.3620000000001</v>
      </c>
      <c r="D123" s="47"/>
      <c r="E123" s="47"/>
      <c r="F123" s="47"/>
      <c r="G123" s="47"/>
    </row>
    <row r="124" spans="1:7" x14ac:dyDescent="0.35">
      <c r="A124" s="77">
        <v>42094</v>
      </c>
      <c r="B124" s="78">
        <v>1554.3309999999999</v>
      </c>
      <c r="C124" s="78">
        <v>1096.2619999999999</v>
      </c>
      <c r="D124" s="47"/>
      <c r="E124" s="47"/>
      <c r="F124" s="47"/>
      <c r="G124" s="47"/>
    </row>
    <row r="125" spans="1:7" x14ac:dyDescent="0.35">
      <c r="A125" s="77">
        <v>42124</v>
      </c>
      <c r="B125" s="78">
        <v>1544.722</v>
      </c>
      <c r="C125" s="78">
        <v>1071.5640000000001</v>
      </c>
      <c r="D125" s="47"/>
      <c r="E125" s="47"/>
      <c r="F125" s="47"/>
      <c r="G125" s="47"/>
    </row>
    <row r="126" spans="1:7" x14ac:dyDescent="0.35">
      <c r="A126" s="77">
        <v>42155</v>
      </c>
      <c r="B126" s="78">
        <v>1541.11</v>
      </c>
      <c r="C126" s="78">
        <v>1076.25</v>
      </c>
      <c r="D126" s="47"/>
      <c r="E126" s="47"/>
      <c r="F126" s="47"/>
      <c r="G126" s="47"/>
    </row>
    <row r="127" spans="1:7" x14ac:dyDescent="0.35">
      <c r="A127" s="77">
        <v>42185</v>
      </c>
      <c r="B127" s="78">
        <v>1525.7570000000001</v>
      </c>
      <c r="C127" s="78">
        <v>1056.259</v>
      </c>
      <c r="D127" s="47"/>
      <c r="E127" s="47"/>
      <c r="F127" s="47"/>
      <c r="G127" s="47"/>
    </row>
    <row r="128" spans="1:7" x14ac:dyDescent="0.35">
      <c r="A128" s="77">
        <v>42216</v>
      </c>
      <c r="B128" s="78">
        <v>1540.0889999999999</v>
      </c>
      <c r="C128" s="78">
        <v>1073.83</v>
      </c>
      <c r="D128" s="47"/>
      <c r="E128" s="47"/>
      <c r="F128" s="47"/>
      <c r="G128" s="47"/>
    </row>
    <row r="129" spans="1:7" x14ac:dyDescent="0.35">
      <c r="A129" s="77">
        <v>42247</v>
      </c>
      <c r="B129" s="78">
        <v>1540.9670000000001</v>
      </c>
      <c r="C129" s="78">
        <v>1077.05</v>
      </c>
      <c r="D129" s="47"/>
      <c r="E129" s="47"/>
      <c r="F129" s="47"/>
      <c r="G129" s="47"/>
    </row>
    <row r="130" spans="1:7" x14ac:dyDescent="0.35">
      <c r="A130" s="77">
        <v>42277</v>
      </c>
      <c r="B130" s="78">
        <v>1554.798</v>
      </c>
      <c r="C130" s="78">
        <v>1091.1020000000001</v>
      </c>
      <c r="D130" s="47"/>
      <c r="E130" s="47"/>
      <c r="F130" s="47"/>
      <c r="G130" s="47"/>
    </row>
    <row r="131" spans="1:7" x14ac:dyDescent="0.35">
      <c r="A131" s="77">
        <v>42308</v>
      </c>
      <c r="B131" s="78">
        <v>1549.2550000000001</v>
      </c>
      <c r="C131" s="78">
        <v>1078.0930000000001</v>
      </c>
      <c r="D131" s="47"/>
      <c r="E131" s="47"/>
      <c r="F131" s="47"/>
      <c r="G131" s="47"/>
    </row>
    <row r="132" spans="1:7" x14ac:dyDescent="0.35">
      <c r="A132" s="77">
        <v>42338</v>
      </c>
      <c r="B132" s="78">
        <v>1542.7090000000001</v>
      </c>
      <c r="C132" s="78">
        <v>1088.6869999999999</v>
      </c>
      <c r="D132" s="47"/>
      <c r="E132" s="47"/>
      <c r="F132" s="47"/>
      <c r="G132" s="47"/>
    </row>
    <row r="133" spans="1:7" x14ac:dyDescent="0.35">
      <c r="A133" s="77">
        <v>42369</v>
      </c>
      <c r="B133" s="78">
        <v>1540.289</v>
      </c>
      <c r="C133" s="78">
        <v>1076.6220000000001</v>
      </c>
      <c r="D133" s="47"/>
      <c r="E133" s="47"/>
      <c r="F133" s="47"/>
      <c r="G133" s="47"/>
    </row>
    <row r="134" spans="1:7" x14ac:dyDescent="0.35">
      <c r="A134" s="77">
        <v>42400</v>
      </c>
      <c r="B134" s="78">
        <v>1574.173</v>
      </c>
      <c r="C134" s="78">
        <v>1117.6079999999999</v>
      </c>
      <c r="D134" s="47"/>
      <c r="E134" s="47"/>
      <c r="F134" s="47"/>
      <c r="G134" s="47"/>
    </row>
    <row r="135" spans="1:7" x14ac:dyDescent="0.35">
      <c r="A135" s="77">
        <v>42429</v>
      </c>
      <c r="B135" s="78">
        <v>1589.664</v>
      </c>
      <c r="C135" s="78">
        <v>1133.9970000000001</v>
      </c>
      <c r="D135" s="47"/>
      <c r="E135" s="47"/>
      <c r="F135" s="47"/>
      <c r="G135" s="47"/>
    </row>
    <row r="136" spans="1:7" x14ac:dyDescent="0.35">
      <c r="A136" s="77">
        <v>42460</v>
      </c>
      <c r="B136" s="78">
        <v>1591.874</v>
      </c>
      <c r="C136" s="78">
        <v>1132.4659999999999</v>
      </c>
      <c r="D136" s="47"/>
      <c r="E136" s="47"/>
      <c r="F136" s="47"/>
      <c r="G136" s="47"/>
    </row>
    <row r="137" spans="1:7" x14ac:dyDescent="0.35">
      <c r="A137" s="77">
        <v>42490</v>
      </c>
      <c r="B137" s="78">
        <v>1589.963</v>
      </c>
      <c r="C137" s="78">
        <v>1117.873</v>
      </c>
      <c r="D137" s="47"/>
      <c r="E137" s="47"/>
      <c r="F137" s="47"/>
      <c r="G137" s="47"/>
    </row>
    <row r="138" spans="1:7" x14ac:dyDescent="0.35">
      <c r="A138" s="77">
        <v>42521</v>
      </c>
      <c r="B138" s="78">
        <v>1590.559</v>
      </c>
      <c r="C138" s="78">
        <v>1138.5909999999999</v>
      </c>
      <c r="D138" s="47"/>
      <c r="E138" s="47"/>
      <c r="F138" s="47"/>
      <c r="G138" s="47"/>
    </row>
    <row r="139" spans="1:7" x14ac:dyDescent="0.35">
      <c r="A139" s="77">
        <v>42551</v>
      </c>
      <c r="B139" s="78">
        <v>1627.5329999999999</v>
      </c>
      <c r="C139" s="78">
        <v>1205.8679999999999</v>
      </c>
      <c r="D139" s="47"/>
      <c r="E139" s="47"/>
      <c r="F139" s="47"/>
      <c r="G139" s="47"/>
    </row>
    <row r="140" spans="1:7" x14ac:dyDescent="0.35">
      <c r="A140" s="77">
        <v>42582</v>
      </c>
      <c r="B140" s="78">
        <v>1634.443</v>
      </c>
      <c r="C140" s="78">
        <v>1231.367</v>
      </c>
      <c r="D140" s="47"/>
      <c r="E140" s="47"/>
      <c r="F140" s="47"/>
      <c r="G140" s="47"/>
    </row>
    <row r="141" spans="1:7" x14ac:dyDescent="0.35">
      <c r="A141" s="77">
        <v>42613</v>
      </c>
      <c r="B141" s="78">
        <v>1625.0830000000001</v>
      </c>
      <c r="C141" s="78">
        <v>1265.623</v>
      </c>
      <c r="D141" s="47"/>
      <c r="E141" s="47"/>
      <c r="F141" s="47"/>
      <c r="G141" s="47"/>
    </row>
    <row r="142" spans="1:7" x14ac:dyDescent="0.35">
      <c r="A142" s="77">
        <v>42643</v>
      </c>
      <c r="B142" s="78">
        <v>1622.095</v>
      </c>
      <c r="C142" s="78">
        <v>1235.364</v>
      </c>
      <c r="D142" s="47"/>
      <c r="E142" s="47"/>
      <c r="F142" s="47"/>
      <c r="G142" s="47"/>
    </row>
    <row r="143" spans="1:7" x14ac:dyDescent="0.35">
      <c r="A143" s="77">
        <v>42674</v>
      </c>
      <c r="B143" s="78">
        <v>1603.42</v>
      </c>
      <c r="C143" s="78">
        <v>1184.941</v>
      </c>
      <c r="D143" s="47"/>
      <c r="E143" s="47"/>
      <c r="F143" s="47"/>
      <c r="G143" s="47"/>
    </row>
    <row r="144" spans="1:7" x14ac:dyDescent="0.35">
      <c r="A144" s="77">
        <v>42704</v>
      </c>
      <c r="B144" s="78">
        <v>1559.6320000000001</v>
      </c>
      <c r="C144" s="78">
        <v>1168.758</v>
      </c>
      <c r="D144" s="47"/>
      <c r="E144" s="47"/>
      <c r="F144" s="47"/>
      <c r="G144" s="47"/>
    </row>
    <row r="145" spans="1:7" x14ac:dyDescent="0.35">
      <c r="A145" s="77">
        <v>42735</v>
      </c>
      <c r="B145" s="78">
        <v>1557.8440000000001</v>
      </c>
      <c r="C145" s="78">
        <v>1190.768</v>
      </c>
      <c r="D145" s="47"/>
      <c r="E145" s="47"/>
      <c r="F145" s="47"/>
      <c r="G145" s="47"/>
    </row>
    <row r="146" spans="1:7" x14ac:dyDescent="0.35">
      <c r="A146" s="77">
        <v>42766</v>
      </c>
      <c r="B146" s="78">
        <v>1561.3620000000001</v>
      </c>
      <c r="C146" s="78">
        <v>1169.088</v>
      </c>
      <c r="D146" s="47"/>
      <c r="E146" s="47"/>
      <c r="F146" s="47"/>
      <c r="G146" s="47"/>
    </row>
    <row r="147" spans="1:7" x14ac:dyDescent="0.35">
      <c r="A147" s="77">
        <v>42794</v>
      </c>
      <c r="B147" s="78">
        <v>1569.4359999999999</v>
      </c>
      <c r="C147" s="78">
        <v>1206.202</v>
      </c>
      <c r="D147" s="47"/>
      <c r="E147" s="47"/>
      <c r="F147" s="47"/>
      <c r="G147" s="47"/>
    </row>
    <row r="148" spans="1:7" x14ac:dyDescent="0.35">
      <c r="A148" s="77">
        <v>42825</v>
      </c>
      <c r="B148" s="78">
        <v>1568.5150000000001</v>
      </c>
      <c r="C148" s="78">
        <v>1210.2239999999999</v>
      </c>
      <c r="D148" s="47"/>
      <c r="E148" s="47"/>
      <c r="F148" s="47"/>
      <c r="G148" s="47"/>
    </row>
    <row r="149" spans="1:7" x14ac:dyDescent="0.35">
      <c r="A149" s="77">
        <v>42855</v>
      </c>
      <c r="B149" s="78">
        <v>1579.5</v>
      </c>
      <c r="C149" s="78">
        <v>1213.3499999999999</v>
      </c>
      <c r="D149" s="47"/>
      <c r="E149" s="47"/>
      <c r="F149" s="47"/>
      <c r="G149" s="47"/>
    </row>
    <row r="150" spans="1:7" x14ac:dyDescent="0.35">
      <c r="A150" s="77">
        <v>42886</v>
      </c>
      <c r="B150" s="78">
        <v>1590.085</v>
      </c>
      <c r="C150" s="78">
        <v>1219.22</v>
      </c>
      <c r="D150" s="47"/>
      <c r="E150" s="47"/>
      <c r="F150" s="47"/>
      <c r="G150" s="47"/>
    </row>
    <row r="151" spans="1:7" x14ac:dyDescent="0.35">
      <c r="A151" s="77">
        <v>42916</v>
      </c>
      <c r="B151" s="78">
        <v>1587.7</v>
      </c>
      <c r="C151" s="78">
        <v>1193.7449999999999</v>
      </c>
      <c r="D151" s="47"/>
      <c r="E151" s="47"/>
      <c r="F151" s="47"/>
      <c r="G151" s="47"/>
    </row>
    <row r="152" spans="1:7" x14ac:dyDescent="0.35">
      <c r="A152" s="77">
        <v>42947</v>
      </c>
      <c r="B152" s="78">
        <v>1590.114</v>
      </c>
      <c r="C152" s="78">
        <v>1197.6179999999999</v>
      </c>
      <c r="D152" s="47"/>
      <c r="E152" s="47"/>
      <c r="F152" s="47"/>
      <c r="G152" s="47"/>
    </row>
    <row r="153" spans="1:7" x14ac:dyDescent="0.35">
      <c r="A153" s="77">
        <v>42978</v>
      </c>
      <c r="B153" s="78">
        <v>1608.0930000000001</v>
      </c>
      <c r="C153" s="78">
        <v>1222.0530000000001</v>
      </c>
      <c r="D153" s="47"/>
      <c r="E153" s="47"/>
      <c r="F153" s="47"/>
      <c r="G153" s="47"/>
    </row>
    <row r="154" spans="1:7" x14ac:dyDescent="0.35">
      <c r="A154" s="77">
        <v>43008</v>
      </c>
      <c r="B154" s="78">
        <v>1593.95</v>
      </c>
      <c r="C154" s="78">
        <v>1189.086</v>
      </c>
      <c r="D154" s="47"/>
      <c r="E154" s="47"/>
      <c r="F154" s="47"/>
      <c r="G154" s="47"/>
    </row>
    <row r="155" spans="1:7" x14ac:dyDescent="0.35">
      <c r="A155" s="77">
        <v>43039</v>
      </c>
      <c r="B155" s="78">
        <v>1592.2</v>
      </c>
      <c r="C155" s="78">
        <v>1192.6389999999999</v>
      </c>
      <c r="D155" s="47"/>
      <c r="E155" s="47"/>
      <c r="F155" s="47"/>
      <c r="G155" s="47"/>
    </row>
    <row r="156" spans="1:7" x14ac:dyDescent="0.35">
      <c r="A156" s="77">
        <v>43069</v>
      </c>
      <c r="B156" s="78">
        <v>1590.269</v>
      </c>
      <c r="C156" s="78">
        <v>1196.086</v>
      </c>
      <c r="D156" s="47"/>
      <c r="E156" s="47"/>
      <c r="F156" s="47"/>
      <c r="G156" s="47"/>
    </row>
    <row r="157" spans="1:7" x14ac:dyDescent="0.35">
      <c r="A157" s="77">
        <v>43100</v>
      </c>
      <c r="B157" s="78">
        <v>1595.7729999999999</v>
      </c>
      <c r="C157" s="78">
        <v>1213.654</v>
      </c>
      <c r="D157" s="47"/>
      <c r="E157" s="47"/>
      <c r="F157" s="47"/>
      <c r="G157" s="47"/>
    </row>
    <row r="158" spans="1:7" x14ac:dyDescent="0.35">
      <c r="A158" s="77">
        <v>43131</v>
      </c>
      <c r="B158" s="78">
        <v>1573.4970000000001</v>
      </c>
      <c r="C158" s="78">
        <v>1188.3040000000001</v>
      </c>
      <c r="D158" s="47"/>
      <c r="E158" s="47"/>
      <c r="F158" s="47"/>
      <c r="G158" s="47"/>
    </row>
    <row r="159" spans="1:7" x14ac:dyDescent="0.35">
      <c r="A159" s="77">
        <v>43159</v>
      </c>
      <c r="B159" s="78">
        <v>1561.104</v>
      </c>
      <c r="C159" s="78">
        <v>1191.325</v>
      </c>
      <c r="D159" s="47"/>
      <c r="E159" s="47"/>
      <c r="F159" s="47"/>
      <c r="G159" s="47"/>
    </row>
    <row r="160" spans="1:7" x14ac:dyDescent="0.35">
      <c r="A160" s="77">
        <v>43190</v>
      </c>
      <c r="B160" s="78">
        <v>1576.5260000000001</v>
      </c>
      <c r="C160" s="78">
        <v>1215.982</v>
      </c>
      <c r="D160" s="47"/>
      <c r="E160" s="47"/>
      <c r="F160" s="47"/>
      <c r="G160" s="47"/>
    </row>
    <row r="161" spans="1:7" x14ac:dyDescent="0.35">
      <c r="A161" s="77">
        <v>43220</v>
      </c>
      <c r="B161" s="78">
        <v>1563.5509999999999</v>
      </c>
      <c r="C161" s="78">
        <v>1203.23</v>
      </c>
      <c r="D161" s="47"/>
      <c r="E161" s="47"/>
      <c r="F161" s="47"/>
      <c r="G161" s="47"/>
    </row>
    <row r="162" spans="1:7" x14ac:dyDescent="0.35">
      <c r="A162" s="77">
        <v>43251</v>
      </c>
      <c r="B162" s="78">
        <v>1577.751</v>
      </c>
      <c r="C162" s="78">
        <v>1225.029</v>
      </c>
      <c r="D162" s="47"/>
      <c r="E162" s="47"/>
      <c r="F162" s="47"/>
      <c r="G162" s="47"/>
    </row>
    <row r="163" spans="1:7" x14ac:dyDescent="0.35">
      <c r="A163" s="77">
        <v>43281</v>
      </c>
      <c r="B163" s="78">
        <v>1578.2070000000001</v>
      </c>
      <c r="C163" s="78">
        <v>1217.6880000000001</v>
      </c>
      <c r="D163" s="47"/>
      <c r="E163" s="47"/>
      <c r="F163" s="47"/>
      <c r="G163" s="47"/>
    </row>
    <row r="164" spans="1:7" x14ac:dyDescent="0.35">
      <c r="A164" s="77">
        <v>43312</v>
      </c>
      <c r="B164" s="78">
        <v>1571.0519999999999</v>
      </c>
      <c r="C164" s="78">
        <v>1213.528</v>
      </c>
      <c r="D164" s="47"/>
      <c r="E164" s="47"/>
      <c r="F164" s="47"/>
      <c r="G164" s="47"/>
    </row>
    <row r="165" spans="1:7" x14ac:dyDescent="0.35">
      <c r="A165" s="77">
        <v>43343</v>
      </c>
      <c r="B165" s="78">
        <v>1583.3219999999999</v>
      </c>
      <c r="C165" s="78">
        <v>1215.296</v>
      </c>
      <c r="D165" s="47"/>
      <c r="E165" s="47"/>
      <c r="F165" s="47"/>
      <c r="G165" s="47"/>
    </row>
    <row r="166" spans="1:7" x14ac:dyDescent="0.35">
      <c r="A166" s="77">
        <v>43373</v>
      </c>
      <c r="B166" s="78">
        <v>1567.837</v>
      </c>
      <c r="C166" s="78">
        <v>1195.7370000000001</v>
      </c>
      <c r="D166" s="47"/>
      <c r="E166" s="47"/>
      <c r="F166" s="47"/>
      <c r="G166" s="47"/>
    </row>
    <row r="167" spans="1:7" x14ac:dyDescent="0.35">
      <c r="A167" s="77">
        <v>43404</v>
      </c>
      <c r="B167" s="78">
        <v>1559.5730000000001</v>
      </c>
      <c r="C167" s="78">
        <v>1207.501</v>
      </c>
      <c r="D167" s="47"/>
      <c r="E167" s="47"/>
      <c r="F167" s="47"/>
      <c r="G167" s="47"/>
    </row>
    <row r="168" spans="1:7" x14ac:dyDescent="0.35">
      <c r="A168" s="77">
        <v>43434</v>
      </c>
      <c r="B168" s="78">
        <v>1573.614</v>
      </c>
      <c r="C168" s="78">
        <v>1191.915</v>
      </c>
      <c r="D168" s="47"/>
      <c r="E168" s="47"/>
      <c r="F168" s="47"/>
      <c r="G168" s="47"/>
    </row>
    <row r="169" spans="1:7" x14ac:dyDescent="0.35">
      <c r="A169" s="77">
        <v>43465</v>
      </c>
      <c r="B169" s="78">
        <v>1608.5429999999999</v>
      </c>
      <c r="C169" s="78">
        <v>1220.0989999999999</v>
      </c>
      <c r="D169" s="47"/>
      <c r="E169" s="47"/>
      <c r="F169" s="47"/>
      <c r="G169" s="47"/>
    </row>
    <row r="170" spans="1:7" x14ac:dyDescent="0.35">
      <c r="A170" s="77">
        <v>43496</v>
      </c>
      <c r="B170" s="78">
        <v>1616.0540000000001</v>
      </c>
      <c r="C170" s="78">
        <v>1234.086</v>
      </c>
      <c r="D170" s="47"/>
      <c r="E170" s="47"/>
      <c r="F170" s="47"/>
      <c r="G170" s="47"/>
    </row>
    <row r="171" spans="1:7" x14ac:dyDescent="0.35">
      <c r="A171" s="77">
        <v>43524</v>
      </c>
      <c r="B171" s="78">
        <v>1611.569</v>
      </c>
      <c r="C171" s="78">
        <v>1222.452</v>
      </c>
      <c r="D171" s="47"/>
      <c r="E171" s="47"/>
      <c r="F171" s="47"/>
      <c r="G171" s="47"/>
    </row>
    <row r="172" spans="1:7" x14ac:dyDescent="0.35">
      <c r="A172" s="77">
        <v>43555</v>
      </c>
      <c r="B172" s="78">
        <v>1643.5930000000001</v>
      </c>
      <c r="C172" s="78">
        <v>1263.884</v>
      </c>
      <c r="D172" s="47"/>
      <c r="E172" s="47"/>
      <c r="F172" s="47"/>
      <c r="G172" s="47"/>
    </row>
    <row r="173" spans="1:7" x14ac:dyDescent="0.35">
      <c r="A173" s="77">
        <v>43585</v>
      </c>
      <c r="B173" s="78">
        <v>1638.2750000000001</v>
      </c>
      <c r="C173" s="78">
        <v>1243.2</v>
      </c>
      <c r="D173" s="47"/>
      <c r="E173" s="47"/>
      <c r="F173" s="47"/>
      <c r="G173" s="47"/>
    </row>
    <row r="174" spans="1:7" x14ac:dyDescent="0.35">
      <c r="A174" s="77">
        <v>43616</v>
      </c>
      <c r="B174" s="78">
        <v>1678.299</v>
      </c>
      <c r="C174" s="78">
        <v>1279.1089999999999</v>
      </c>
      <c r="D174" s="47"/>
      <c r="E174" s="47"/>
      <c r="F174" s="47"/>
      <c r="G174" s="47"/>
    </row>
    <row r="175" spans="1:7" x14ac:dyDescent="0.35">
      <c r="A175" s="77">
        <v>43646</v>
      </c>
      <c r="B175" s="78">
        <v>1693.874</v>
      </c>
      <c r="C175" s="78">
        <v>1281.424</v>
      </c>
      <c r="D175" s="47"/>
      <c r="E175" s="47"/>
      <c r="F175" s="47"/>
      <c r="G175" s="47"/>
    </row>
    <row r="176" spans="1:7" x14ac:dyDescent="0.35">
      <c r="A176" s="77">
        <v>43677</v>
      </c>
      <c r="B176" s="78">
        <v>1692.09</v>
      </c>
      <c r="C176" s="78">
        <v>1309.394</v>
      </c>
      <c r="D176" s="47"/>
      <c r="E176" s="47"/>
      <c r="F176" s="47"/>
      <c r="G176" s="47"/>
    </row>
    <row r="177" spans="1:7" x14ac:dyDescent="0.35">
      <c r="A177" s="77">
        <v>43708</v>
      </c>
      <c r="B177" s="78">
        <v>1752.2190000000001</v>
      </c>
      <c r="C177" s="78">
        <v>1358.73</v>
      </c>
      <c r="D177" s="47"/>
      <c r="E177" s="47"/>
      <c r="F177" s="47"/>
      <c r="G177" s="47"/>
    </row>
    <row r="178" spans="1:7" x14ac:dyDescent="0.35">
      <c r="A178" s="77">
        <v>43738</v>
      </c>
      <c r="B178" s="78">
        <v>1736.3889999999999</v>
      </c>
      <c r="C178" s="78">
        <v>1365.932</v>
      </c>
      <c r="D178" s="47"/>
      <c r="E178" s="47"/>
      <c r="F178" s="47"/>
      <c r="G178" s="47"/>
    </row>
    <row r="179" spans="1:7" x14ac:dyDescent="0.35">
      <c r="A179" s="77">
        <v>43769</v>
      </c>
      <c r="B179" s="78">
        <v>1736.922</v>
      </c>
      <c r="C179" s="78">
        <v>1339.569</v>
      </c>
      <c r="D179" s="47"/>
      <c r="E179" s="47"/>
      <c r="F179" s="47"/>
      <c r="G179" s="47"/>
    </row>
    <row r="180" spans="1:7" x14ac:dyDescent="0.35">
      <c r="A180" s="77">
        <v>43799</v>
      </c>
      <c r="B180" s="78">
        <v>1731.579</v>
      </c>
      <c r="C180" s="78">
        <v>1328.155</v>
      </c>
      <c r="D180" s="47"/>
      <c r="E180" s="47"/>
      <c r="F180" s="47"/>
      <c r="G180" s="47"/>
    </row>
    <row r="181" spans="1:7" x14ac:dyDescent="0.35">
      <c r="A181" s="77">
        <v>43830</v>
      </c>
      <c r="B181" s="78">
        <v>1720.9090000000001</v>
      </c>
      <c r="C181" s="78">
        <v>1309.223</v>
      </c>
      <c r="D181" s="47"/>
      <c r="E181" s="47"/>
      <c r="F181" s="47"/>
      <c r="G181" s="47"/>
    </row>
    <row r="182" spans="1:7" x14ac:dyDescent="0.35">
      <c r="A182" s="77">
        <v>43861</v>
      </c>
      <c r="B182" s="78">
        <v>1765.039</v>
      </c>
      <c r="C182" s="78">
        <v>1358.45</v>
      </c>
      <c r="D182" s="47"/>
      <c r="E182" s="47"/>
      <c r="F182" s="47"/>
      <c r="G182" s="47"/>
    </row>
    <row r="183" spans="1:7" x14ac:dyDescent="0.35">
      <c r="A183" s="77">
        <v>43890</v>
      </c>
      <c r="B183" s="78">
        <v>1813.192</v>
      </c>
      <c r="C183" s="78">
        <v>1376.7909999999999</v>
      </c>
      <c r="D183" s="47"/>
      <c r="E183" s="47"/>
      <c r="F183" s="47"/>
      <c r="G183" s="47"/>
    </row>
    <row r="184" spans="1:7" x14ac:dyDescent="0.35">
      <c r="A184" s="77">
        <v>43921</v>
      </c>
      <c r="B184" s="78">
        <v>1872.3779999999999</v>
      </c>
      <c r="C184" s="78">
        <v>1398.501</v>
      </c>
      <c r="D184" s="47"/>
      <c r="E184" s="47"/>
      <c r="F184" s="47"/>
      <c r="G184" s="47"/>
    </row>
    <row r="185" spans="1:7" x14ac:dyDescent="0.35">
      <c r="A185" s="77">
        <v>43951</v>
      </c>
      <c r="B185" s="78">
        <v>1879.9670000000001</v>
      </c>
      <c r="C185" s="78">
        <v>1443.0709999999999</v>
      </c>
      <c r="D185" s="47"/>
      <c r="E185" s="47"/>
      <c r="F185" s="47"/>
      <c r="G185" s="47"/>
    </row>
    <row r="186" spans="1:7" x14ac:dyDescent="0.35">
      <c r="A186" s="77">
        <v>43982</v>
      </c>
      <c r="B186" s="78">
        <v>1874.175</v>
      </c>
      <c r="C186" s="78">
        <v>1443.39</v>
      </c>
      <c r="D186" s="47"/>
      <c r="E186" s="47"/>
      <c r="F186" s="47"/>
      <c r="G186" s="47"/>
    </row>
    <row r="187" spans="1:7" x14ac:dyDescent="0.35">
      <c r="A187" s="77">
        <v>44012</v>
      </c>
      <c r="B187" s="78">
        <v>1876.212</v>
      </c>
      <c r="C187" s="78">
        <v>1434.78</v>
      </c>
      <c r="D187" s="47"/>
      <c r="E187" s="47"/>
      <c r="F187" s="47"/>
      <c r="G187" s="47"/>
    </row>
    <row r="188" spans="1:7" x14ac:dyDescent="0.35">
      <c r="A188" s="77">
        <v>44043</v>
      </c>
      <c r="B188" s="78">
        <v>1898.944</v>
      </c>
      <c r="C188" s="78">
        <v>1440.797</v>
      </c>
      <c r="D188" s="47"/>
      <c r="E188" s="47"/>
      <c r="F188" s="47"/>
      <c r="G188" s="47"/>
    </row>
    <row r="189" spans="1:7" x14ac:dyDescent="0.35">
      <c r="A189" s="77">
        <v>44074</v>
      </c>
      <c r="B189" s="78">
        <v>1876.126</v>
      </c>
      <c r="C189" s="78">
        <v>1394.376</v>
      </c>
      <c r="D189" s="47"/>
      <c r="E189" s="47"/>
      <c r="F189" s="47"/>
      <c r="G189" s="47"/>
    </row>
    <row r="190" spans="1:7" x14ac:dyDescent="0.35">
      <c r="A190" s="77">
        <v>44104</v>
      </c>
      <c r="B190" s="78">
        <v>1879.597</v>
      </c>
      <c r="C190" s="78">
        <v>1415.88</v>
      </c>
      <c r="D190" s="47"/>
      <c r="E190" s="47"/>
      <c r="F190" s="47"/>
      <c r="G190" s="47"/>
    </row>
    <row r="191" spans="1:7" x14ac:dyDescent="0.35">
      <c r="A191" s="77">
        <v>44135</v>
      </c>
      <c r="B191" s="78">
        <v>1860.62</v>
      </c>
      <c r="C191" s="78">
        <v>1407.942</v>
      </c>
      <c r="D191" s="47"/>
      <c r="E191" s="47"/>
      <c r="F191" s="47"/>
      <c r="G191" s="47"/>
    </row>
    <row r="192" spans="1:7" x14ac:dyDescent="0.35">
      <c r="A192" s="77">
        <v>44165</v>
      </c>
      <c r="B192" s="78">
        <v>1867.7070000000001</v>
      </c>
      <c r="C192" s="78">
        <v>1401.299</v>
      </c>
      <c r="D192" s="47"/>
      <c r="E192" s="47"/>
      <c r="F192" s="47"/>
      <c r="G192" s="47"/>
    </row>
    <row r="193" spans="1:7" x14ac:dyDescent="0.35">
      <c r="A193" s="77">
        <v>44196</v>
      </c>
      <c r="B193" s="78">
        <v>1862.4269999999999</v>
      </c>
      <c r="C193" s="78">
        <v>1424.96</v>
      </c>
      <c r="D193" s="47"/>
      <c r="E193" s="47"/>
      <c r="F193" s="47"/>
      <c r="G193" s="47"/>
    </row>
    <row r="194" spans="1:7" x14ac:dyDescent="0.35">
      <c r="A194" s="77">
        <v>44227</v>
      </c>
      <c r="B194" s="78">
        <v>1841.5139999999999</v>
      </c>
      <c r="C194" s="78">
        <v>1399.806</v>
      </c>
      <c r="D194" s="47"/>
      <c r="E194" s="47"/>
      <c r="F194" s="47"/>
      <c r="G194" s="47"/>
    </row>
    <row r="195" spans="1:7" x14ac:dyDescent="0.35">
      <c r="A195" s="77">
        <v>44255</v>
      </c>
      <c r="B195" s="78">
        <v>1799.413</v>
      </c>
      <c r="C195" s="78">
        <v>1318.308</v>
      </c>
      <c r="D195" s="47"/>
      <c r="E195" s="47"/>
      <c r="F195" s="47"/>
      <c r="G195" s="47"/>
    </row>
    <row r="196" spans="1:7" x14ac:dyDescent="0.35">
      <c r="A196" s="77">
        <v>44286</v>
      </c>
      <c r="B196" s="78">
        <v>1776.644</v>
      </c>
      <c r="C196" s="78">
        <v>1318.5239999999999</v>
      </c>
      <c r="D196" s="47"/>
      <c r="E196" s="47"/>
      <c r="F196" s="47"/>
      <c r="G196" s="47"/>
    </row>
    <row r="197" spans="1:7" x14ac:dyDescent="0.35">
      <c r="A197" s="77">
        <v>44316</v>
      </c>
      <c r="B197" s="78">
        <v>1791.576</v>
      </c>
      <c r="C197" s="78">
        <v>1325.8240000000001</v>
      </c>
      <c r="D197" s="47"/>
      <c r="E197" s="47"/>
      <c r="F197" s="47"/>
      <c r="G197" s="47"/>
    </row>
    <row r="198" spans="1:7" x14ac:dyDescent="0.35">
      <c r="A198" s="77">
        <v>44347</v>
      </c>
      <c r="B198" s="78">
        <v>1796.9090000000001</v>
      </c>
      <c r="C198" s="78">
        <v>1332.059</v>
      </c>
      <c r="D198" s="47"/>
      <c r="E198" s="47"/>
      <c r="F198" s="47"/>
      <c r="G198" s="47"/>
    </row>
    <row r="199" spans="1:7" x14ac:dyDescent="0.35">
      <c r="A199" s="77">
        <v>44377</v>
      </c>
      <c r="B199" s="78">
        <v>1812.521</v>
      </c>
      <c r="C199" s="78">
        <v>1341.9949999999999</v>
      </c>
      <c r="D199" s="47"/>
      <c r="E199" s="47"/>
      <c r="F199" s="47"/>
      <c r="G199" s="47"/>
    </row>
    <row r="200" spans="1:7" x14ac:dyDescent="0.35">
      <c r="A200" s="77">
        <v>44408</v>
      </c>
      <c r="B200" s="78">
        <v>1836.8</v>
      </c>
      <c r="C200" s="78">
        <v>1380.5039999999999</v>
      </c>
      <c r="D200" s="47"/>
      <c r="E200" s="47"/>
      <c r="F200" s="47"/>
      <c r="G200" s="47"/>
    </row>
    <row r="201" spans="1:7" x14ac:dyDescent="0.35">
      <c r="A201" s="77">
        <v>44439</v>
      </c>
      <c r="B201" s="78">
        <v>1833.933</v>
      </c>
      <c r="C201" s="78">
        <v>1368.7139999999999</v>
      </c>
      <c r="D201" s="47"/>
      <c r="E201" s="47"/>
      <c r="F201" s="47"/>
      <c r="G201" s="47"/>
    </row>
    <row r="202" spans="1:7" x14ac:dyDescent="0.35">
      <c r="A202" s="77">
        <v>44469</v>
      </c>
      <c r="B202" s="78">
        <v>1811.8989999999999</v>
      </c>
      <c r="C202" s="78">
        <v>1316.1479999999999</v>
      </c>
      <c r="D202" s="47"/>
      <c r="E202" s="47"/>
      <c r="F202" s="47"/>
      <c r="G202" s="47"/>
    </row>
    <row r="203" spans="1:7" x14ac:dyDescent="0.35">
      <c r="A203" s="77">
        <v>44500</v>
      </c>
      <c r="B203" s="78">
        <v>1812.463</v>
      </c>
      <c r="C203" s="78">
        <v>1345.9090000000001</v>
      </c>
      <c r="D203" s="47"/>
      <c r="E203" s="47"/>
      <c r="F203" s="47"/>
      <c r="G203" s="47"/>
    </row>
    <row r="204" spans="1:7" x14ac:dyDescent="0.35">
      <c r="A204" s="77">
        <v>44530</v>
      </c>
      <c r="B204" s="78">
        <v>1828.6030000000001</v>
      </c>
      <c r="C204" s="78">
        <v>1388.154</v>
      </c>
      <c r="D204" s="47"/>
      <c r="E204" s="47"/>
      <c r="F204" s="47"/>
      <c r="G204" s="47"/>
    </row>
    <row r="205" spans="1:7" x14ac:dyDescent="0.35">
      <c r="A205" s="77">
        <v>44561</v>
      </c>
      <c r="B205" s="78">
        <v>1818.1790000000001</v>
      </c>
      <c r="C205" s="78">
        <v>1349.252</v>
      </c>
      <c r="D205" s="47"/>
      <c r="E205" s="47"/>
      <c r="F205" s="47"/>
      <c r="G205" s="47"/>
    </row>
    <row r="206" spans="1:7" x14ac:dyDescent="0.35">
      <c r="A206" s="77">
        <v>44592</v>
      </c>
      <c r="B206" s="78">
        <v>1783.88</v>
      </c>
      <c r="C206" s="78">
        <v>1294.8520000000001</v>
      </c>
      <c r="D206" s="47"/>
      <c r="E206" s="47"/>
      <c r="F206" s="47"/>
      <c r="G206" s="47"/>
    </row>
    <row r="207" spans="1:7" x14ac:dyDescent="0.35">
      <c r="A207" s="77">
        <v>44620</v>
      </c>
      <c r="B207" s="78">
        <v>1770.336</v>
      </c>
      <c r="C207" s="78">
        <v>1276.0920000000001</v>
      </c>
      <c r="D207" s="47"/>
      <c r="E207" s="47"/>
      <c r="F207" s="47"/>
      <c r="G207" s="47"/>
    </row>
    <row r="208" spans="1:7" x14ac:dyDescent="0.35">
      <c r="A208" s="77">
        <v>44651</v>
      </c>
      <c r="B208" s="78">
        <v>1717.1289999999999</v>
      </c>
      <c r="C208" s="78">
        <v>1248.2339999999999</v>
      </c>
      <c r="D208" s="47"/>
      <c r="E208" s="47"/>
      <c r="F208" s="47"/>
      <c r="G208" s="47"/>
    </row>
    <row r="209" spans="1:7" x14ac:dyDescent="0.35">
      <c r="A209" s="77">
        <v>44681</v>
      </c>
      <c r="B209" s="78">
        <v>1662.0409999999999</v>
      </c>
      <c r="C209" s="78">
        <v>1210.836</v>
      </c>
      <c r="D209" s="47"/>
      <c r="E209" s="47"/>
      <c r="F209" s="47"/>
      <c r="G209" s="47"/>
    </row>
    <row r="210" spans="1:7" x14ac:dyDescent="0.35">
      <c r="A210" s="77">
        <v>44712</v>
      </c>
      <c r="B210" s="78">
        <v>1663.075</v>
      </c>
      <c r="C210" s="78">
        <v>1173.067</v>
      </c>
      <c r="D210" s="47"/>
      <c r="E210" s="47"/>
      <c r="F210" s="47"/>
      <c r="G210" s="47"/>
    </row>
    <row r="211" spans="1:7" x14ac:dyDescent="0.35">
      <c r="A211" s="77">
        <v>44742</v>
      </c>
      <c r="B211" s="78">
        <v>1651.0350000000001</v>
      </c>
      <c r="C211" s="78">
        <v>1150.2539999999999</v>
      </c>
      <c r="D211" s="47"/>
      <c r="E211" s="47"/>
      <c r="F211" s="47"/>
      <c r="G211" s="47"/>
    </row>
    <row r="212" spans="1:7" x14ac:dyDescent="0.35">
      <c r="A212" s="77">
        <v>44773</v>
      </c>
      <c r="B212" s="78">
        <v>1678.42</v>
      </c>
      <c r="C212" s="78">
        <v>1181.634</v>
      </c>
      <c r="D212" s="47"/>
      <c r="E212" s="47"/>
      <c r="F212" s="47"/>
      <c r="G212" s="47"/>
    </row>
    <row r="213" spans="1:7" x14ac:dyDescent="0.35">
      <c r="A213" s="77">
        <v>44804</v>
      </c>
      <c r="B213" s="78">
        <v>1634.4870000000001</v>
      </c>
      <c r="C213" s="78">
        <v>1086.06</v>
      </c>
      <c r="D213" s="47"/>
      <c r="E213" s="47"/>
      <c r="F213" s="47"/>
      <c r="G213" s="47"/>
    </row>
    <row r="214" spans="1:7" x14ac:dyDescent="0.35">
      <c r="A214" s="77">
        <v>44834</v>
      </c>
      <c r="B214" s="78">
        <v>1573.1759999999999</v>
      </c>
      <c r="C214" s="78">
        <v>994.16899999999998</v>
      </c>
      <c r="D214" s="47"/>
      <c r="E214" s="47"/>
      <c r="F214" s="47"/>
      <c r="G214" s="47"/>
    </row>
    <row r="215" spans="1:7" x14ac:dyDescent="0.35">
      <c r="A215" s="77">
        <v>44865</v>
      </c>
      <c r="B215" s="78">
        <v>1549.2329999999999</v>
      </c>
      <c r="C215" s="78">
        <v>1026.9649999999999</v>
      </c>
      <c r="D215" s="47"/>
      <c r="E215" s="47"/>
      <c r="F215" s="47"/>
      <c r="G215" s="47"/>
    </row>
    <row r="216" spans="1:7" x14ac:dyDescent="0.35">
      <c r="A216" s="77">
        <v>44895</v>
      </c>
      <c r="B216" s="78">
        <v>1592.807</v>
      </c>
      <c r="C216" s="78">
        <v>1057.8150000000001</v>
      </c>
      <c r="D216" s="47"/>
      <c r="E216" s="47"/>
      <c r="F216" s="47"/>
      <c r="G216" s="47"/>
    </row>
    <row r="217" spans="1:7" x14ac:dyDescent="0.35">
      <c r="A217" s="77">
        <v>44926</v>
      </c>
      <c r="B217" s="78">
        <v>1584.4570000000001</v>
      </c>
      <c r="C217" s="78">
        <v>1011.116</v>
      </c>
      <c r="D217" s="47"/>
      <c r="E217" s="47"/>
      <c r="F217" s="47"/>
      <c r="G217" s="47"/>
    </row>
    <row r="218" spans="1:7" x14ac:dyDescent="0.35">
      <c r="A218" s="77">
        <v>44957</v>
      </c>
      <c r="B218" s="78">
        <v>1625.5609999999999</v>
      </c>
      <c r="C218" s="78">
        <v>1038.9590000000001</v>
      </c>
      <c r="D218" s="47"/>
      <c r="E218" s="47"/>
      <c r="F218" s="47"/>
      <c r="G218" s="47"/>
    </row>
    <row r="219" spans="1:7" x14ac:dyDescent="0.35">
      <c r="A219" s="77">
        <v>44985</v>
      </c>
      <c r="B219" s="78">
        <v>1586.404</v>
      </c>
      <c r="C219" s="78">
        <v>1003.465</v>
      </c>
      <c r="D219" s="47"/>
      <c r="E219" s="47"/>
      <c r="F219" s="47"/>
      <c r="G219" s="47"/>
    </row>
    <row r="220" spans="1:7" x14ac:dyDescent="0.35">
      <c r="A220" s="77">
        <v>45016</v>
      </c>
      <c r="B220" s="78">
        <v>1633.325</v>
      </c>
      <c r="C220" s="78">
        <v>1033.8579999999999</v>
      </c>
      <c r="D220" s="47"/>
      <c r="E220" s="47"/>
      <c r="F220" s="47"/>
      <c r="G220" s="47"/>
    </row>
    <row r="221" spans="1:7" x14ac:dyDescent="0.35">
      <c r="A221" s="77">
        <v>45046</v>
      </c>
      <c r="B221" s="78">
        <v>1642.258</v>
      </c>
      <c r="C221" s="78">
        <v>1015.381</v>
      </c>
      <c r="D221" s="47"/>
      <c r="E221" s="47"/>
      <c r="F221" s="47"/>
      <c r="G221" s="47"/>
    </row>
    <row r="222" spans="1:7" x14ac:dyDescent="0.35">
      <c r="A222" s="77">
        <v>45077</v>
      </c>
      <c r="B222" s="78">
        <v>1622.09</v>
      </c>
      <c r="C222" s="78">
        <v>976.87599999999998</v>
      </c>
      <c r="D222" s="47"/>
      <c r="E222" s="47"/>
      <c r="F222" s="47"/>
      <c r="G222" s="47"/>
    </row>
    <row r="223" spans="1:7" x14ac:dyDescent="0.35">
      <c r="A223" s="77">
        <v>45107</v>
      </c>
      <c r="B223" s="78">
        <v>1610.326</v>
      </c>
      <c r="C223" s="78">
        <v>972.19899999999996</v>
      </c>
      <c r="D223" s="47"/>
      <c r="E223" s="47"/>
      <c r="F223" s="47"/>
      <c r="G223" s="47"/>
    </row>
    <row r="224" spans="1:7" x14ac:dyDescent="0.35">
      <c r="A224" s="77">
        <v>45138</v>
      </c>
      <c r="B224" s="78">
        <v>1603.9459999999999</v>
      </c>
      <c r="C224" s="78">
        <v>980.08699999999999</v>
      </c>
      <c r="D224" s="47"/>
      <c r="E224" s="47"/>
      <c r="F224" s="47"/>
      <c r="G224" s="47"/>
    </row>
    <row r="225" spans="1:7" x14ac:dyDescent="0.35">
      <c r="A225" s="77">
        <v>45169</v>
      </c>
      <c r="B225" s="78">
        <v>1594.6089999999999</v>
      </c>
      <c r="C225" s="78">
        <v>975.03</v>
      </c>
      <c r="D225" s="47"/>
      <c r="E225" s="47"/>
      <c r="F225" s="47"/>
      <c r="G225" s="47"/>
    </row>
    <row r="226" spans="1:7" x14ac:dyDescent="0.35">
      <c r="A226" s="77">
        <v>45199</v>
      </c>
      <c r="B226" s="78">
        <v>1556.634</v>
      </c>
      <c r="C226" s="78">
        <v>964.75699999999995</v>
      </c>
      <c r="D226" s="47"/>
      <c r="E226" s="47"/>
      <c r="F226" s="47"/>
      <c r="G226" s="47"/>
    </row>
    <row r="227" spans="1:7" x14ac:dyDescent="0.35">
      <c r="A227" s="77">
        <v>45230</v>
      </c>
      <c r="B227" s="78">
        <v>1536.0519999999999</v>
      </c>
      <c r="C227" s="78">
        <v>960.78700000000003</v>
      </c>
      <c r="D227" s="47"/>
      <c r="E227" s="47"/>
      <c r="F227" s="47"/>
      <c r="G227" s="47"/>
    </row>
    <row r="228" spans="1:7" x14ac:dyDescent="0.35">
      <c r="A228" s="77">
        <v>45260</v>
      </c>
      <c r="B228" s="78">
        <v>1591.44</v>
      </c>
      <c r="C228" s="78">
        <v>990.79600000000005</v>
      </c>
      <c r="D228" s="47"/>
      <c r="E228" s="47"/>
      <c r="F228" s="47"/>
      <c r="G228" s="47"/>
    </row>
    <row r="229" spans="1:7" x14ac:dyDescent="0.35">
      <c r="A229" s="77">
        <v>45291</v>
      </c>
      <c r="B229" s="78">
        <v>1645.721</v>
      </c>
      <c r="C229" s="78">
        <v>1048.0609999999999</v>
      </c>
      <c r="D229" s="47"/>
      <c r="E229" s="47"/>
      <c r="F229" s="47"/>
      <c r="G229" s="47"/>
    </row>
    <row r="230" spans="1:7" x14ac:dyDescent="0.35">
      <c r="A230" s="77">
        <v>45322</v>
      </c>
      <c r="B230" s="78">
        <v>1642.829</v>
      </c>
      <c r="C230" s="78">
        <v>1022.8869999999999</v>
      </c>
      <c r="D230" s="47"/>
      <c r="E230" s="47"/>
      <c r="F230" s="47"/>
      <c r="G230" s="47"/>
    </row>
    <row r="231" spans="1:7" x14ac:dyDescent="0.35">
      <c r="A231" s="77">
        <v>45351</v>
      </c>
      <c r="B231" s="78">
        <v>1620.577</v>
      </c>
      <c r="C231" s="78">
        <v>1010.38</v>
      </c>
      <c r="D231" s="47"/>
      <c r="E231" s="47"/>
      <c r="F231" s="47"/>
      <c r="G231" s="47"/>
    </row>
    <row r="232" spans="1:7" x14ac:dyDescent="0.35">
      <c r="A232" s="77">
        <v>45382</v>
      </c>
      <c r="B232" s="78">
        <v>1630.2760000000001</v>
      </c>
      <c r="C232" s="78">
        <v>1028.6769999999999</v>
      </c>
      <c r="D232" s="47"/>
      <c r="E232" s="47"/>
      <c r="F232" s="47"/>
      <c r="G232" s="47"/>
    </row>
    <row r="233" spans="1:7" x14ac:dyDescent="0.35">
      <c r="A233" s="77">
        <v>45412</v>
      </c>
      <c r="B233" s="78">
        <v>1591.7539999999999</v>
      </c>
      <c r="C233" s="78">
        <v>995.80700000000002</v>
      </c>
      <c r="D233" s="47"/>
      <c r="E233" s="47"/>
      <c r="F233" s="47"/>
      <c r="G233" s="47"/>
    </row>
    <row r="234" spans="1:7" x14ac:dyDescent="0.35">
      <c r="A234" s="77">
        <v>45443</v>
      </c>
      <c r="B234" s="78">
        <v>1615.548</v>
      </c>
      <c r="C234" s="78">
        <v>1004.122</v>
      </c>
      <c r="D234" s="47"/>
      <c r="E234" s="47"/>
      <c r="F234" s="47"/>
      <c r="G234" s="47"/>
    </row>
    <row r="235" spans="1:7" x14ac:dyDescent="0.35">
      <c r="A235" s="77">
        <v>45473</v>
      </c>
      <c r="B235" s="78">
        <v>1632.201</v>
      </c>
      <c r="C235" s="78">
        <v>1017.476</v>
      </c>
      <c r="D235" s="47"/>
      <c r="E235" s="47"/>
      <c r="F235" s="47"/>
      <c r="G235" s="47"/>
    </row>
    <row r="236" spans="1:7" x14ac:dyDescent="0.35">
      <c r="A236" s="77">
        <v>45504</v>
      </c>
      <c r="B236" s="78">
        <v>1668.673</v>
      </c>
      <c r="C236" s="78">
        <v>1036.462</v>
      </c>
      <c r="D236" s="47"/>
      <c r="E236" s="47"/>
      <c r="F236" s="47"/>
      <c r="G236" s="47"/>
    </row>
    <row r="237" spans="1:7" x14ac:dyDescent="0.35">
      <c r="A237" s="77">
        <v>45535</v>
      </c>
      <c r="B237" s="78">
        <v>1690.5119999999999</v>
      </c>
      <c r="C237" s="78">
        <v>1041.9670000000001</v>
      </c>
      <c r="D237" s="47"/>
      <c r="E237" s="47"/>
      <c r="F237" s="47"/>
      <c r="G237" s="47"/>
    </row>
    <row r="238" spans="1:7" x14ac:dyDescent="0.35">
      <c r="A238" s="77">
        <v>45565</v>
      </c>
      <c r="B238" s="78">
        <v>1711.1980000000001</v>
      </c>
      <c r="C238" s="78">
        <v>1042.433</v>
      </c>
      <c r="D238" s="47"/>
      <c r="E238" s="47"/>
      <c r="F238" s="47"/>
      <c r="G238" s="47"/>
    </row>
    <row r="239" spans="1:7" x14ac:dyDescent="0.35">
      <c r="A239" s="77">
        <v>45596</v>
      </c>
      <c r="B239" s="78">
        <v>1668.761</v>
      </c>
      <c r="C239" s="78">
        <v>1013.451</v>
      </c>
      <c r="D239" s="47"/>
      <c r="E239" s="47"/>
      <c r="F239" s="47"/>
      <c r="G239" s="47"/>
    </row>
    <row r="240" spans="1:7" x14ac:dyDescent="0.35">
      <c r="A240" s="77">
        <v>45626</v>
      </c>
      <c r="B240" s="78">
        <v>1682.4549999999999</v>
      </c>
      <c r="C240" s="78">
        <v>1031.405</v>
      </c>
      <c r="D240" s="47"/>
      <c r="E240" s="47"/>
      <c r="F240" s="47"/>
      <c r="G240" s="47"/>
    </row>
    <row r="241" spans="1:7" x14ac:dyDescent="0.35">
      <c r="A241" s="77">
        <v>45657</v>
      </c>
      <c r="B241" s="78">
        <v>1654.078</v>
      </c>
      <c r="C241" s="78">
        <v>1005.111</v>
      </c>
      <c r="D241" s="47"/>
      <c r="E241" s="47"/>
      <c r="F241" s="47"/>
      <c r="G241" s="47"/>
    </row>
    <row r="242" spans="1:7" x14ac:dyDescent="0.35">
      <c r="A242" s="77">
        <v>45688</v>
      </c>
      <c r="B242" s="78">
        <v>1663.1849999999999</v>
      </c>
      <c r="C242" s="78">
        <v>1013.537</v>
      </c>
      <c r="D242" s="47"/>
      <c r="E242" s="47"/>
      <c r="F242" s="47"/>
      <c r="G242" s="47"/>
    </row>
    <row r="243" spans="1:7" x14ac:dyDescent="0.35">
      <c r="A243" s="77">
        <v>45716</v>
      </c>
      <c r="B243" s="78">
        <v>1700.5160000000001</v>
      </c>
      <c r="C243" s="78">
        <v>1021.793</v>
      </c>
      <c r="D243" s="47"/>
      <c r="E243" s="47"/>
      <c r="F243" s="47"/>
      <c r="G243" s="47"/>
    </row>
    <row r="244" spans="1:7" x14ac:dyDescent="0.35">
      <c r="A244" s="77">
        <v>45747</v>
      </c>
      <c r="B244" s="78">
        <v>1703.837</v>
      </c>
      <c r="C244" s="78">
        <v>1010.033</v>
      </c>
      <c r="D244" s="47"/>
      <c r="E244" s="47"/>
      <c r="F244" s="47"/>
      <c r="G244" s="47"/>
    </row>
    <row r="245" spans="1:7" x14ac:dyDescent="0.35">
      <c r="A245" s="77">
        <v>45777</v>
      </c>
      <c r="B245" s="78">
        <v>1713.251</v>
      </c>
      <c r="C245" s="78">
        <v>1028.4349999999999</v>
      </c>
      <c r="D245" s="47"/>
      <c r="E245" s="47"/>
      <c r="F245" s="47"/>
      <c r="G245" s="47"/>
    </row>
    <row r="246" spans="1:7" x14ac:dyDescent="0.35">
      <c r="A246" s="77">
        <v>45808</v>
      </c>
      <c r="B246" s="78">
        <v>1694.902</v>
      </c>
      <c r="C246" s="78">
        <v>1014.44</v>
      </c>
      <c r="D246" s="47"/>
      <c r="E246" s="47"/>
      <c r="F246" s="47"/>
      <c r="G246" s="47"/>
    </row>
    <row r="247" spans="1:7" x14ac:dyDescent="0.35">
      <c r="A247" s="77">
        <v>45838</v>
      </c>
      <c r="B247" s="78">
        <v>1716.8240000000001</v>
      </c>
      <c r="C247" s="78">
        <v>1030.1790000000001</v>
      </c>
      <c r="D247" s="47"/>
      <c r="E247" s="47"/>
      <c r="F247" s="47"/>
      <c r="G247" s="47"/>
    </row>
    <row r="248" spans="1:7" x14ac:dyDescent="0.35">
      <c r="A248" s="77">
        <v>45869</v>
      </c>
      <c r="B248" s="78">
        <v>1710.164</v>
      </c>
      <c r="C248" s="78">
        <v>1026.633</v>
      </c>
      <c r="D248" s="47"/>
      <c r="E248" s="47"/>
      <c r="F248" s="47"/>
      <c r="G248" s="47"/>
    </row>
    <row r="249" spans="1:7" x14ac:dyDescent="0.35">
      <c r="A249" s="77">
        <v>45900</v>
      </c>
      <c r="B249" s="78">
        <v>1727.7170000000001</v>
      </c>
      <c r="C249" s="78">
        <v>1015.691</v>
      </c>
      <c r="D249" s="47"/>
      <c r="E249" s="47"/>
      <c r="F249" s="47"/>
      <c r="G249" s="47"/>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Notes and disclaimer</vt:lpstr>
      <vt:lpstr>1</vt:lpstr>
      <vt:lpstr>2</vt:lpstr>
      <vt:lpstr>3</vt:lpstr>
      <vt:lpstr>4</vt:lpstr>
      <vt:lpstr>correl</vt:lpstr>
      <vt:lpstr>correl0.5</vt:lpstr>
      <vt:lpstr>'1'!CVaRA</vt:lpstr>
      <vt:lpstr>'2'!CVaRA</vt:lpstr>
      <vt:lpstr>'1'!CVaRB</vt:lpstr>
      <vt:lpstr>'2'!CVaRB</vt:lpstr>
      <vt:lpstr>'1'!muA</vt:lpstr>
      <vt:lpstr>'2'!muA</vt:lpstr>
      <vt:lpstr>'1'!muB</vt:lpstr>
      <vt:lpstr>'2'!muB</vt:lpstr>
      <vt:lpstr>'1'!sigmaA</vt:lpstr>
      <vt:lpstr>'2'!sigmaA</vt:lpstr>
      <vt:lpstr>'1'!sigmaB</vt:lpstr>
      <vt:lpstr>'2'!sigmaB</vt:lpstr>
      <vt:lpstr>SlideTwo</vt:lpstr>
      <vt:lpstr>'1'!VaR_Threshold</vt:lpstr>
      <vt:lpstr>'2'!VaR_Threshold</vt:lpstr>
      <vt:lpstr>'1'!VaRA</vt:lpstr>
      <vt:lpstr>'2'!VaRA</vt:lpstr>
      <vt:lpstr>'1'!VaRB</vt:lpstr>
      <vt:lpstr>'2'!VaRB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2025-09-30T09:46:28Z</dcterms:modified>
</cp:coreProperties>
</file>