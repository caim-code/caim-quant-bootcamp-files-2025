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4.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28" codeName="{E5D1E7B1-6628-F0F0-D09B-76B25B5F3CD3}"/>
  <workbookPr codeName="ThisWorkbook"/>
  <mc:AlternateContent xmlns:mc="http://schemas.openxmlformats.org/markup-compatibility/2006">
    <mc:Choice Requires="x15">
      <x15ac:absPath xmlns:x15ac="http://schemas.microsoft.com/office/spreadsheetml/2010/11/ac" url="https://mmiholdingsltd-my.sharepoint.com/personal/roberts_grava_caiml_com/Documents/CAIM/2025/2510 Quant Bootcamp/caim-quant-bootcamp-files-2025/"/>
    </mc:Choice>
  </mc:AlternateContent>
  <xr:revisionPtr revIDLastSave="41" documentId="8_{7BF23AB5-BBBB-E948-A860-AF17A06E5FB4}" xr6:coauthVersionLast="47" xr6:coauthVersionMax="47" xr10:uidLastSave="{550EBB77-9DD0-E148-9CCF-B5293CC5F4A2}"/>
  <bookViews>
    <workbookView xWindow="0" yWindow="740" windowWidth="30240" windowHeight="18900" activeTab="3" xr2:uid="{00000000-000D-0000-FFFF-FFFF00000000}"/>
  </bookViews>
  <sheets>
    <sheet name="DISCLAIMER" sheetId="5" r:id="rId1"/>
    <sheet name="NS" sheetId="3" r:id="rId2"/>
    <sheet name="Bond 101" sheetId="6" r:id="rId3"/>
    <sheet name="Scenarios" sheetId="4" r:id="rId4"/>
    <sheet name="Boiler Room" sheetId="2" r:id="rId5"/>
  </sheets>
  <definedNames>
    <definedName name="beta_0">NS!$I$3</definedName>
    <definedName name="beta_0_scen">Scenarios!$L$4</definedName>
    <definedName name="beta_1">NS!$I$4</definedName>
    <definedName name="beta_1_scen">Scenarios!$L$5</definedName>
    <definedName name="beta_2">NS!$I$5</definedName>
    <definedName name="beta_2_scen">Scenarios!$L$6</definedName>
    <definedName name="coefs">NS!$I$3:$I$5</definedName>
    <definedName name="coefs_scen">Scenarios!$L$4:$L$6</definedName>
    <definedName name="countries">'Boiler Room'!$C$3:$G$3</definedName>
    <definedName name="country_ix">'Boiler Room'!$B$15</definedName>
    <definedName name="country_list">'Boiler Room'!$B$17:$B$21</definedName>
    <definedName name="current_forwards">'Boiler Room'!#REF!</definedName>
    <definedName name="current_forwards_live">#REF!</definedName>
    <definedName name="current_maturities">'Boiler Room'!$B$4:$B$12</definedName>
    <definedName name="current_rates">'Boiler Room'!$C$4:$G$12</definedName>
    <definedName name="current_rates_live">#REF!</definedName>
    <definedName name="horizon_months">Scenarios!#REF!</definedName>
    <definedName name="hump_choices">'Boiler Room'!$C$17:$C$23</definedName>
    <definedName name="hump_ix">'Boiler Room'!$C$15</definedName>
    <definedName name="hump_mat">'Boiler Room'!$C$16</definedName>
    <definedName name="lambda">NS!$I$6</definedName>
    <definedName name="lambdas">'Boiler Room'!$D$17:$D$23</definedName>
    <definedName name="ns_maturities">NS!$B$19:$B$139</definedName>
    <definedName name="ns_table">NS!$B$19:$C$139</definedName>
    <definedName name="ns_yields">NS!$C$19:$C$139</definedName>
    <definedName name="obs_date">'Boiler Room'!$B$2</definedName>
    <definedName name="scen_mat_a">Scenarios!$S$11</definedName>
    <definedName name="scen_mat_b">Scenarios!$S$13</definedName>
    <definedName name="solver_adj" localSheetId="1" hidden="1">NS!$I$3:$I$5</definedName>
    <definedName name="solver_adj" localSheetId="3" hidden="1">Scenarios!$L$4:$L$6</definedName>
    <definedName name="solver_cvg" localSheetId="1" hidden="1">0.0001</definedName>
    <definedName name="solver_cvg" localSheetId="3" hidden="1">0.0001</definedName>
    <definedName name="solver_drv" localSheetId="1" hidden="1">1</definedName>
    <definedName name="solver_drv" localSheetId="3" hidden="1">1</definedName>
    <definedName name="solver_eng" localSheetId="1" hidden="1">1</definedName>
    <definedName name="solver_eng" localSheetId="3" hidden="1">1</definedName>
    <definedName name="solver_itr" localSheetId="1" hidden="1">2147483647</definedName>
    <definedName name="solver_itr" localSheetId="3" hidden="1">2147483647</definedName>
    <definedName name="solver_lin" localSheetId="1" hidden="1">2</definedName>
    <definedName name="solver_lin" localSheetId="3" hidden="1">2</definedName>
    <definedName name="solver_mip" localSheetId="1" hidden="1">2147483647</definedName>
    <definedName name="solver_mip" localSheetId="3" hidden="1">2147483647</definedName>
    <definedName name="solver_mni" localSheetId="1" hidden="1">30</definedName>
    <definedName name="solver_mni" localSheetId="3" hidden="1">30</definedName>
    <definedName name="solver_mrt" localSheetId="1" hidden="1">0.075</definedName>
    <definedName name="solver_mrt" localSheetId="3" hidden="1">0.075</definedName>
    <definedName name="solver_msl" localSheetId="1" hidden="1">2</definedName>
    <definedName name="solver_msl" localSheetId="3" hidden="1">2</definedName>
    <definedName name="solver_neg" localSheetId="1" hidden="1">2</definedName>
    <definedName name="solver_neg" localSheetId="3" hidden="1">2</definedName>
    <definedName name="solver_nod" localSheetId="1" hidden="1">2147483647</definedName>
    <definedName name="solver_nod" localSheetId="3" hidden="1">2147483647</definedName>
    <definedName name="solver_num" localSheetId="1" hidden="1">0</definedName>
    <definedName name="solver_num" localSheetId="3" hidden="1">0</definedName>
    <definedName name="solver_opt" localSheetId="1" hidden="1">NS!$P$6</definedName>
    <definedName name="solver_opt" localSheetId="3" hidden="1">Scenarios!$S$7</definedName>
    <definedName name="solver_pre" localSheetId="1" hidden="1">0.000001</definedName>
    <definedName name="solver_pre" localSheetId="3" hidden="1">0.000001</definedName>
    <definedName name="solver_rbv" localSheetId="1" hidden="1">1</definedName>
    <definedName name="solver_rbv" localSheetId="3" hidden="1">1</definedName>
    <definedName name="solver_rlx" localSheetId="1" hidden="1">1</definedName>
    <definedName name="solver_rlx" localSheetId="3" hidden="1">2</definedName>
    <definedName name="solver_rsd" localSheetId="1" hidden="1">0</definedName>
    <definedName name="solver_rsd" localSheetId="3" hidden="1">0</definedName>
    <definedName name="solver_scl" localSheetId="1" hidden="1">2</definedName>
    <definedName name="solver_scl" localSheetId="3" hidden="1">1</definedName>
    <definedName name="solver_sho" localSheetId="1" hidden="1">2</definedName>
    <definedName name="solver_sho" localSheetId="3" hidden="1">2</definedName>
    <definedName name="solver_ssz" localSheetId="1" hidden="1">100</definedName>
    <definedName name="solver_ssz" localSheetId="3" hidden="1">100</definedName>
    <definedName name="solver_tim" localSheetId="1" hidden="1">2147483647</definedName>
    <definedName name="solver_tim" localSheetId="3" hidden="1">2147483647</definedName>
    <definedName name="solver_tol" localSheetId="1" hidden="1">0.01</definedName>
    <definedName name="solver_tol" localSheetId="3" hidden="1">0.01</definedName>
    <definedName name="solver_typ" localSheetId="1" hidden="1">2</definedName>
    <definedName name="solver_typ" localSheetId="3" hidden="1">2</definedName>
    <definedName name="solver_val" localSheetId="1" hidden="1">0</definedName>
    <definedName name="solver_val" localSheetId="3" hidden="1">0</definedName>
    <definedName name="solver_ver" localSheetId="1" hidden="1">2</definedName>
    <definedName name="solver_ver" localSheetId="3" hidden="1">2</definedName>
    <definedName name="ss_err_scen">Scenarios!$S$7</definedName>
    <definedName name="sumsq_err_ns">NS!$P$6</definedName>
    <definedName name="yields_used">NS!$F$7:$F$15</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2" i="4" l="1"/>
  <c r="K30" i="4"/>
  <c r="K31" i="4"/>
  <c r="K32" i="4"/>
  <c r="K34" i="4"/>
  <c r="K35" i="4"/>
  <c r="K36" i="4"/>
  <c r="K37" i="4"/>
  <c r="K29" i="4"/>
  <c r="K15" i="4"/>
  <c r="K16" i="4"/>
  <c r="K17" i="4"/>
  <c r="K18" i="4"/>
  <c r="K19" i="4"/>
  <c r="K20" i="4"/>
  <c r="K21" i="4"/>
  <c r="K22" i="4"/>
  <c r="K23" i="4"/>
  <c r="B17" i="2" a="1"/>
  <c r="B17" i="2" s="1"/>
  <c r="C3" i="3"/>
  <c r="C7" i="3" a="1"/>
  <c r="C7" i="3" s="1"/>
  <c r="J4" i="2" s="1"/>
  <c r="K4" i="2" s="1"/>
  <c r="B7" i="3" a="1"/>
  <c r="B7" i="3" s="1"/>
  <c r="J58" i="4"/>
  <c r="J59" i="4"/>
  <c r="K59" i="4" s="1"/>
  <c r="J60" i="4"/>
  <c r="K60" i="4" s="1"/>
  <c r="J61" i="4"/>
  <c r="K61" i="4" s="1"/>
  <c r="J62" i="4"/>
  <c r="K62" i="4" s="1"/>
  <c r="J63" i="4"/>
  <c r="K63" i="4" s="1"/>
  <c r="J64" i="4"/>
  <c r="K64" i="4" s="1"/>
  <c r="J65" i="4"/>
  <c r="K65" i="4" s="1"/>
  <c r="J66" i="4"/>
  <c r="K66" i="4" s="1"/>
  <c r="J67" i="4"/>
  <c r="K67" i="4" s="1"/>
  <c r="J68" i="4"/>
  <c r="K68" i="4" s="1"/>
  <c r="J69" i="4"/>
  <c r="K69" i="4" s="1"/>
  <c r="J57" i="4"/>
  <c r="K57" i="4" s="1"/>
  <c r="K58" i="4"/>
  <c r="J41" i="4"/>
  <c r="K41" i="4" s="1"/>
  <c r="J43" i="4"/>
  <c r="K43" i="4" s="1"/>
  <c r="J44" i="4"/>
  <c r="K44" i="4" s="1"/>
  <c r="J45" i="4"/>
  <c r="K45" i="4" s="1"/>
  <c r="J46" i="4"/>
  <c r="K46" i="4" s="1"/>
  <c r="J47" i="4"/>
  <c r="K47" i="4" s="1"/>
  <c r="J48" i="4"/>
  <c r="K48" i="4" s="1"/>
  <c r="J49" i="4"/>
  <c r="K49" i="4" s="1"/>
  <c r="J50" i="4"/>
  <c r="K50" i="4" s="1"/>
  <c r="J51" i="4"/>
  <c r="K51" i="4" s="1"/>
  <c r="J52" i="4"/>
  <c r="K52" i="4"/>
  <c r="J53" i="4"/>
  <c r="K53" i="4" s="1"/>
  <c r="J42" i="4"/>
  <c r="K42" i="4" s="1"/>
  <c r="C6" i="6"/>
  <c r="C7" i="6" s="1"/>
  <c r="B21" i="2" l="1"/>
  <c r="B19" i="2"/>
  <c r="B20" i="2"/>
  <c r="B18" i="2"/>
  <c r="C15" i="3"/>
  <c r="J12" i="2" s="1"/>
  <c r="K12" i="2" s="1"/>
  <c r="C14" i="3"/>
  <c r="J11" i="2" s="1"/>
  <c r="K11" i="2" s="1"/>
  <c r="C13" i="3"/>
  <c r="J10" i="2" s="1"/>
  <c r="K10" i="2" s="1"/>
  <c r="C12" i="3"/>
  <c r="J9" i="2" s="1"/>
  <c r="K9" i="2" s="1"/>
  <c r="C11" i="3"/>
  <c r="J8" i="2" s="1"/>
  <c r="K8" i="2" s="1"/>
  <c r="C10" i="3"/>
  <c r="J7" i="2" s="1"/>
  <c r="K7" i="2" s="1"/>
  <c r="C9" i="3"/>
  <c r="J6" i="2" s="1"/>
  <c r="K6" i="2" s="1"/>
  <c r="C8" i="3"/>
  <c r="J5" i="2" s="1"/>
  <c r="K5" i="2" s="1"/>
  <c r="B13" i="3"/>
  <c r="B12" i="3"/>
  <c r="B11" i="3"/>
  <c r="B10" i="3"/>
  <c r="B9" i="3"/>
  <c r="B8" i="3"/>
  <c r="B15" i="3"/>
  <c r="B14" i="3"/>
  <c r="D9" i="6"/>
  <c r="C9" i="6"/>
  <c r="C8" i="6"/>
  <c r="D12" i="6" s="1"/>
  <c r="M4" i="2" a="1"/>
  <c r="M123" i="2" s="1"/>
  <c r="D11" i="6" l="1"/>
  <c r="M35" i="2"/>
  <c r="M41" i="2"/>
  <c r="M6" i="2"/>
  <c r="M91" i="2"/>
  <c r="M62" i="2"/>
  <c r="M12" i="2"/>
  <c r="M97" i="2"/>
  <c r="M27" i="2"/>
  <c r="M99" i="2"/>
  <c r="M70" i="2"/>
  <c r="M33" i="2"/>
  <c r="M105" i="2"/>
  <c r="M19" i="2"/>
  <c r="M25" i="2"/>
  <c r="M54" i="2"/>
  <c r="M83" i="2"/>
  <c r="M89" i="2"/>
  <c r="M118" i="2"/>
  <c r="M78" i="2"/>
  <c r="M107" i="2"/>
  <c r="M113" i="2"/>
  <c r="M22" i="2"/>
  <c r="M51" i="2"/>
  <c r="M57" i="2"/>
  <c r="M115" i="2"/>
  <c r="M4" i="2"/>
  <c r="M9" i="2"/>
  <c r="M30" i="2"/>
  <c r="M59" i="2"/>
  <c r="M65" i="2"/>
  <c r="M94" i="2"/>
  <c r="M122" i="2"/>
  <c r="M114" i="2"/>
  <c r="M106" i="2"/>
  <c r="M98" i="2"/>
  <c r="M90" i="2"/>
  <c r="M82" i="2"/>
  <c r="M74" i="2"/>
  <c r="M66" i="2"/>
  <c r="M58" i="2"/>
  <c r="M50" i="2"/>
  <c r="M42" i="2"/>
  <c r="M34" i="2"/>
  <c r="M26" i="2"/>
  <c r="M18" i="2"/>
  <c r="M10" i="2"/>
  <c r="M15" i="2"/>
  <c r="M124" i="2"/>
  <c r="M116" i="2"/>
  <c r="M108" i="2"/>
  <c r="M100" i="2"/>
  <c r="M92" i="2"/>
  <c r="M84" i="2"/>
  <c r="M76" i="2"/>
  <c r="M68" i="2"/>
  <c r="M44" i="2"/>
  <c r="M28" i="2"/>
  <c r="M119" i="2"/>
  <c r="M111" i="2"/>
  <c r="M103" i="2"/>
  <c r="M95" i="2"/>
  <c r="M87" i="2"/>
  <c r="M79" i="2"/>
  <c r="M71" i="2"/>
  <c r="M63" i="2"/>
  <c r="M55" i="2"/>
  <c r="M47" i="2"/>
  <c r="M39" i="2"/>
  <c r="M31" i="2"/>
  <c r="M23" i="2"/>
  <c r="M7" i="2"/>
  <c r="M60" i="2"/>
  <c r="M52" i="2"/>
  <c r="M36" i="2"/>
  <c r="M20" i="2"/>
  <c r="M120" i="2"/>
  <c r="M112" i="2"/>
  <c r="M104" i="2"/>
  <c r="M96" i="2"/>
  <c r="M88" i="2"/>
  <c r="M80" i="2"/>
  <c r="M72" i="2"/>
  <c r="M64" i="2"/>
  <c r="M56" i="2"/>
  <c r="M48" i="2"/>
  <c r="M40" i="2"/>
  <c r="M32" i="2"/>
  <c r="M24" i="2"/>
  <c r="M16" i="2"/>
  <c r="M8" i="2"/>
  <c r="M117" i="2"/>
  <c r="M109" i="2"/>
  <c r="M101" i="2"/>
  <c r="M93" i="2"/>
  <c r="M85" i="2"/>
  <c r="M77" i="2"/>
  <c r="M69" i="2"/>
  <c r="M61" i="2"/>
  <c r="M53" i="2"/>
  <c r="M45" i="2"/>
  <c r="M37" i="2"/>
  <c r="M29" i="2"/>
  <c r="M21" i="2"/>
  <c r="M13" i="2"/>
  <c r="M5" i="2"/>
  <c r="M11" i="2"/>
  <c r="M38" i="2"/>
  <c r="M67" i="2"/>
  <c r="M73" i="2"/>
  <c r="M102" i="2"/>
  <c r="M14" i="2"/>
  <c r="M43" i="2"/>
  <c r="M49" i="2"/>
  <c r="M86" i="2"/>
  <c r="M121" i="2"/>
  <c r="M17" i="2"/>
  <c r="M46" i="2"/>
  <c r="M75" i="2"/>
  <c r="M81" i="2"/>
  <c r="M110" i="2"/>
  <c r="D16" i="2" a="1"/>
  <c r="D16" i="2" s="1"/>
  <c r="C16" i="2" a="1"/>
  <c r="C16" i="2" s="1"/>
  <c r="K8" i="4" s="1"/>
  <c r="B16" i="2" a="1"/>
  <c r="B16" i="2" s="1"/>
  <c r="K6" i="4"/>
  <c r="K5" i="4"/>
  <c r="K4" i="4"/>
  <c r="I6" i="3" a="1"/>
  <c r="I6" i="3" s="1"/>
  <c r="I4" i="2"/>
  <c r="I5" i="2"/>
  <c r="I6" i="2"/>
  <c r="I7" i="2"/>
  <c r="I8" i="2"/>
  <c r="I9" i="2"/>
  <c r="I10" i="2"/>
  <c r="I11" i="2"/>
  <c r="I12" i="2"/>
  <c r="N29" i="4" l="1"/>
  <c r="M41" i="4"/>
  <c r="M69" i="4"/>
  <c r="M57" i="4"/>
  <c r="L69" i="4"/>
  <c r="L41" i="4"/>
  <c r="L53" i="4"/>
  <c r="L57" i="4"/>
  <c r="M53" i="4"/>
  <c r="N28" i="4"/>
  <c r="N30" i="4"/>
  <c r="N33" i="4"/>
  <c r="N32" i="4"/>
  <c r="N36" i="4"/>
  <c r="N34" i="4"/>
  <c r="N35" i="4"/>
  <c r="N31" i="4"/>
  <c r="O124" i="2"/>
  <c r="O116" i="2"/>
  <c r="O108" i="2"/>
  <c r="O100" i="2"/>
  <c r="O92" i="2"/>
  <c r="O84" i="2"/>
  <c r="O76" i="2"/>
  <c r="O68" i="2"/>
  <c r="O60" i="2"/>
  <c r="O52" i="2"/>
  <c r="O44" i="2"/>
  <c r="O36" i="2"/>
  <c r="O28" i="2"/>
  <c r="O20" i="2"/>
  <c r="O12" i="2"/>
  <c r="O4" i="2"/>
  <c r="M33" i="4"/>
  <c r="O33" i="4" s="1"/>
  <c r="O9" i="2"/>
  <c r="M32" i="4"/>
  <c r="O32" i="4" s="1"/>
  <c r="O118" i="2"/>
  <c r="O110" i="2"/>
  <c r="O102" i="2"/>
  <c r="O94" i="2"/>
  <c r="O86" i="2"/>
  <c r="O78" i="2"/>
  <c r="O70" i="2"/>
  <c r="O62" i="2"/>
  <c r="O54" i="2"/>
  <c r="O38" i="2"/>
  <c r="O22" i="2"/>
  <c r="O121" i="2"/>
  <c r="O113" i="2"/>
  <c r="O105" i="2"/>
  <c r="O97" i="2"/>
  <c r="O89" i="2"/>
  <c r="O81" i="2"/>
  <c r="O73" i="2"/>
  <c r="O65" i="2"/>
  <c r="O57" i="2"/>
  <c r="O49" i="2"/>
  <c r="O41" i="2"/>
  <c r="O33" i="2"/>
  <c r="O25" i="2"/>
  <c r="O17" i="2"/>
  <c r="O46" i="2"/>
  <c r="O30" i="2"/>
  <c r="O14" i="2"/>
  <c r="O6" i="2"/>
  <c r="O122" i="2"/>
  <c r="O114" i="2"/>
  <c r="O106" i="2"/>
  <c r="O98" i="2"/>
  <c r="O90" i="2"/>
  <c r="O82" i="2"/>
  <c r="O74" i="2"/>
  <c r="O66" i="2"/>
  <c r="O58" i="2"/>
  <c r="O50" i="2"/>
  <c r="O42" i="2"/>
  <c r="O34" i="2"/>
  <c r="O26" i="2"/>
  <c r="O18" i="2"/>
  <c r="O10" i="2"/>
  <c r="M35" i="4"/>
  <c r="O35" i="4" s="1"/>
  <c r="O119" i="2"/>
  <c r="O111" i="2"/>
  <c r="O103" i="2"/>
  <c r="O95" i="2"/>
  <c r="O87" i="2"/>
  <c r="O79" i="2"/>
  <c r="O71" i="2"/>
  <c r="O63" i="2"/>
  <c r="O55" i="2"/>
  <c r="O47" i="2"/>
  <c r="O39" i="2"/>
  <c r="O31" i="2"/>
  <c r="O23" i="2"/>
  <c r="O15" i="2"/>
  <c r="O7" i="2"/>
  <c r="O123" i="2"/>
  <c r="O117" i="2"/>
  <c r="O88" i="2"/>
  <c r="O59" i="2"/>
  <c r="O53" i="2"/>
  <c r="O24" i="2"/>
  <c r="M28" i="4"/>
  <c r="O28" i="4" s="1"/>
  <c r="N37" i="4"/>
  <c r="M27" i="4"/>
  <c r="O27" i="4" s="1"/>
  <c r="M37" i="4"/>
  <c r="O37" i="4" s="1"/>
  <c r="O99" i="2"/>
  <c r="O64" i="2"/>
  <c r="O29" i="2"/>
  <c r="M36" i="4"/>
  <c r="O36" i="4" s="1"/>
  <c r="O120" i="2"/>
  <c r="O85" i="2"/>
  <c r="O27" i="2"/>
  <c r="O112" i="2"/>
  <c r="O48" i="2"/>
  <c r="M31" i="4"/>
  <c r="O31" i="4" s="1"/>
  <c r="O75" i="2"/>
  <c r="M30" i="4"/>
  <c r="O30" i="4" s="1"/>
  <c r="O115" i="2"/>
  <c r="O109" i="2"/>
  <c r="O80" i="2"/>
  <c r="O51" i="2"/>
  <c r="O45" i="2"/>
  <c r="O16" i="2"/>
  <c r="O77" i="2"/>
  <c r="O69" i="2"/>
  <c r="O107" i="2"/>
  <c r="O101" i="2"/>
  <c r="O72" i="2"/>
  <c r="O43" i="2"/>
  <c r="O37" i="2"/>
  <c r="O93" i="2"/>
  <c r="O35" i="2"/>
  <c r="O8" i="2"/>
  <c r="O91" i="2"/>
  <c r="O56" i="2"/>
  <c r="O21" i="2"/>
  <c r="O83" i="2"/>
  <c r="O13" i="2"/>
  <c r="O40" i="2"/>
  <c r="O96" i="2"/>
  <c r="O67" i="2"/>
  <c r="O61" i="2"/>
  <c r="O32" i="2"/>
  <c r="O11" i="2"/>
  <c r="O5" i="2"/>
  <c r="M29" i="4"/>
  <c r="O29" i="4" s="1"/>
  <c r="M34" i="4"/>
  <c r="O34" i="4" s="1"/>
  <c r="O19" i="2"/>
  <c r="O104" i="2"/>
  <c r="N27" i="4"/>
  <c r="P5" i="4"/>
  <c r="Q5" i="4" s="1"/>
  <c r="K7" i="4"/>
  <c r="P6" i="4"/>
  <c r="Q6" i="4" s="1"/>
  <c r="P7" i="4"/>
  <c r="Q7" i="4" s="1"/>
  <c r="P4" i="4"/>
  <c r="Q4" i="4" s="1"/>
  <c r="N7" i="4"/>
  <c r="F26" i="3"/>
  <c r="N4" i="4"/>
  <c r="N5" i="4"/>
  <c r="N6" i="4"/>
  <c r="M13" i="4"/>
  <c r="O13" i="4" s="1"/>
  <c r="N13" i="4"/>
  <c r="M23" i="4"/>
  <c r="O23" i="4" s="1"/>
  <c r="N19" i="4"/>
  <c r="M19" i="4"/>
  <c r="O19" i="4" s="1"/>
  <c r="M17" i="4"/>
  <c r="O17" i="4" s="1"/>
  <c r="N23" i="4"/>
  <c r="N17" i="4"/>
  <c r="N21" i="4"/>
  <c r="N16" i="4"/>
  <c r="M21" i="4"/>
  <c r="O21" i="4" s="1"/>
  <c r="M16" i="4"/>
  <c r="O16" i="4" s="1"/>
  <c r="N20" i="4"/>
  <c r="N15" i="4"/>
  <c r="M20" i="4"/>
  <c r="O20" i="4" s="1"/>
  <c r="M15" i="4"/>
  <c r="O15" i="4" s="1"/>
  <c r="N22" i="4"/>
  <c r="N18" i="4"/>
  <c r="N14" i="4"/>
  <c r="M22" i="4"/>
  <c r="O22" i="4" s="1"/>
  <c r="M18" i="4"/>
  <c r="O18" i="4" s="1"/>
  <c r="M14" i="4"/>
  <c r="O14" i="4" s="1"/>
  <c r="E96" i="3"/>
  <c r="E71" i="3"/>
  <c r="E50" i="3"/>
  <c r="E32" i="3"/>
  <c r="F127" i="3"/>
  <c r="F104" i="3"/>
  <c r="E135" i="3"/>
  <c r="F47" i="3"/>
  <c r="E114" i="3"/>
  <c r="F31" i="3"/>
  <c r="E98" i="3"/>
  <c r="F136" i="3"/>
  <c r="E66" i="3"/>
  <c r="F87" i="3"/>
  <c r="E55" i="3"/>
  <c r="F86" i="3"/>
  <c r="E112" i="3"/>
  <c r="E23" i="3"/>
  <c r="F24" i="3"/>
  <c r="E103" i="3"/>
  <c r="E64" i="3"/>
  <c r="F138" i="3"/>
  <c r="F90" i="3"/>
  <c r="F42" i="3"/>
  <c r="E130" i="3"/>
  <c r="E48" i="3"/>
  <c r="F72" i="3"/>
  <c r="E128" i="3"/>
  <c r="E82" i="3"/>
  <c r="E39" i="3"/>
  <c r="F120" i="3"/>
  <c r="F66" i="3"/>
  <c r="E87" i="3"/>
  <c r="F122" i="3"/>
  <c r="F23" i="3"/>
  <c r="E119" i="3"/>
  <c r="E80" i="3"/>
  <c r="E34" i="3"/>
  <c r="F111" i="3"/>
  <c r="F64" i="3"/>
  <c r="F106" i="3"/>
  <c r="F50" i="3"/>
  <c r="E134" i="3"/>
  <c r="E118" i="3"/>
  <c r="E102" i="3"/>
  <c r="E86" i="3"/>
  <c r="E70" i="3"/>
  <c r="E54" i="3"/>
  <c r="E38" i="3"/>
  <c r="E22" i="3"/>
  <c r="F126" i="3"/>
  <c r="F110" i="3"/>
  <c r="F88" i="3"/>
  <c r="F71" i="3"/>
  <c r="F48" i="3"/>
  <c r="F27" i="3"/>
  <c r="F35" i="3"/>
  <c r="F43" i="3"/>
  <c r="F51" i="3"/>
  <c r="F59" i="3"/>
  <c r="F67" i="3"/>
  <c r="F75" i="3"/>
  <c r="F83" i="3"/>
  <c r="F91" i="3"/>
  <c r="F99" i="3"/>
  <c r="F107" i="3"/>
  <c r="F115" i="3"/>
  <c r="F123" i="3"/>
  <c r="F131" i="3"/>
  <c r="F139" i="3"/>
  <c r="E27" i="3"/>
  <c r="E35" i="3"/>
  <c r="E43" i="3"/>
  <c r="E51" i="3"/>
  <c r="E59" i="3"/>
  <c r="E67" i="3"/>
  <c r="E75" i="3"/>
  <c r="E83" i="3"/>
  <c r="E91" i="3"/>
  <c r="E99" i="3"/>
  <c r="E107" i="3"/>
  <c r="E115" i="3"/>
  <c r="E123" i="3"/>
  <c r="E131" i="3"/>
  <c r="E139" i="3"/>
  <c r="F21" i="3"/>
  <c r="F37" i="3"/>
  <c r="F53" i="3"/>
  <c r="F61" i="3"/>
  <c r="F77" i="3"/>
  <c r="F93" i="3"/>
  <c r="F109" i="3"/>
  <c r="F125" i="3"/>
  <c r="E21" i="3"/>
  <c r="E29" i="3"/>
  <c r="E45" i="3"/>
  <c r="E61" i="3"/>
  <c r="E77" i="3"/>
  <c r="E101" i="3"/>
  <c r="E125" i="3"/>
  <c r="F22" i="3"/>
  <c r="F38" i="3"/>
  <c r="F54" i="3"/>
  <c r="F70" i="3"/>
  <c r="F94" i="3"/>
  <c r="F102" i="3"/>
  <c r="F20" i="3"/>
  <c r="F28" i="3"/>
  <c r="F36" i="3"/>
  <c r="F44" i="3"/>
  <c r="F52" i="3"/>
  <c r="F60" i="3"/>
  <c r="F68" i="3"/>
  <c r="F76" i="3"/>
  <c r="F84" i="3"/>
  <c r="F92" i="3"/>
  <c r="F100" i="3"/>
  <c r="F108" i="3"/>
  <c r="F116" i="3"/>
  <c r="F124" i="3"/>
  <c r="F132" i="3"/>
  <c r="F19" i="3"/>
  <c r="E28" i="3"/>
  <c r="E36" i="3"/>
  <c r="E44" i="3"/>
  <c r="E52" i="3"/>
  <c r="E60" i="3"/>
  <c r="E68" i="3"/>
  <c r="E76" i="3"/>
  <c r="E84" i="3"/>
  <c r="E92" i="3"/>
  <c r="E100" i="3"/>
  <c r="E108" i="3"/>
  <c r="E116" i="3"/>
  <c r="E124" i="3"/>
  <c r="E132" i="3"/>
  <c r="E19" i="3"/>
  <c r="F29" i="3"/>
  <c r="F45" i="3"/>
  <c r="F69" i="3"/>
  <c r="F85" i="3"/>
  <c r="F101" i="3"/>
  <c r="F117" i="3"/>
  <c r="F133" i="3"/>
  <c r="E37" i="3"/>
  <c r="E53" i="3"/>
  <c r="E69" i="3"/>
  <c r="E85" i="3"/>
  <c r="E93" i="3"/>
  <c r="E109" i="3"/>
  <c r="E117" i="3"/>
  <c r="E133" i="3"/>
  <c r="E20" i="3"/>
  <c r="F30" i="3"/>
  <c r="F46" i="3"/>
  <c r="F62" i="3"/>
  <c r="F78" i="3"/>
  <c r="F25" i="3"/>
  <c r="F33" i="3"/>
  <c r="F41" i="3"/>
  <c r="F49" i="3"/>
  <c r="F57" i="3"/>
  <c r="F65" i="3"/>
  <c r="F73" i="3"/>
  <c r="F81" i="3"/>
  <c r="F89" i="3"/>
  <c r="F97" i="3"/>
  <c r="F105" i="3"/>
  <c r="F113" i="3"/>
  <c r="F121" i="3"/>
  <c r="F129" i="3"/>
  <c r="F137" i="3"/>
  <c r="E25" i="3"/>
  <c r="E33" i="3"/>
  <c r="E41" i="3"/>
  <c r="E49" i="3"/>
  <c r="E57" i="3"/>
  <c r="E65" i="3"/>
  <c r="E73" i="3"/>
  <c r="E81" i="3"/>
  <c r="E89" i="3"/>
  <c r="E97" i="3"/>
  <c r="E105" i="3"/>
  <c r="E113" i="3"/>
  <c r="E121" i="3"/>
  <c r="E129" i="3"/>
  <c r="E137" i="3"/>
  <c r="E111" i="3"/>
  <c r="E95" i="3"/>
  <c r="E79" i="3"/>
  <c r="E63" i="3"/>
  <c r="E31" i="3"/>
  <c r="F135" i="3"/>
  <c r="F119" i="3"/>
  <c r="F103" i="3"/>
  <c r="F82" i="3"/>
  <c r="F63" i="3"/>
  <c r="F40" i="3"/>
  <c r="E126" i="3"/>
  <c r="E94" i="3"/>
  <c r="E62" i="3"/>
  <c r="E30" i="3"/>
  <c r="F118" i="3"/>
  <c r="F80" i="3"/>
  <c r="E138" i="3"/>
  <c r="E122" i="3"/>
  <c r="E106" i="3"/>
  <c r="E90" i="3"/>
  <c r="E74" i="3"/>
  <c r="E58" i="3"/>
  <c r="E42" i="3"/>
  <c r="E26" i="3"/>
  <c r="F130" i="3"/>
  <c r="F114" i="3"/>
  <c r="F96" i="3"/>
  <c r="F79" i="3"/>
  <c r="F56" i="3"/>
  <c r="F34" i="3"/>
  <c r="E127" i="3"/>
  <c r="E47" i="3"/>
  <c r="E110" i="3"/>
  <c r="E78" i="3"/>
  <c r="E46" i="3"/>
  <c r="F134" i="3"/>
  <c r="F98" i="3"/>
  <c r="F58" i="3"/>
  <c r="F39" i="3"/>
  <c r="E136" i="3"/>
  <c r="E120" i="3"/>
  <c r="E104" i="3"/>
  <c r="E88" i="3"/>
  <c r="E72" i="3"/>
  <c r="E56" i="3"/>
  <c r="E40" i="3"/>
  <c r="E24" i="3"/>
  <c r="F128" i="3"/>
  <c r="F112" i="3"/>
  <c r="F95" i="3"/>
  <c r="F74" i="3"/>
  <c r="F55" i="3"/>
  <c r="F32" i="3"/>
  <c r="C30" i="3" l="1"/>
  <c r="C136" i="3"/>
  <c r="C24" i="3"/>
  <c r="C104" i="3"/>
  <c r="N58" i="4"/>
  <c r="L67" i="4"/>
  <c r="L68" i="4"/>
  <c r="L59" i="4"/>
  <c r="L65" i="4"/>
  <c r="L64" i="4"/>
  <c r="L63" i="4"/>
  <c r="L61" i="4"/>
  <c r="L66" i="4"/>
  <c r="L60" i="4"/>
  <c r="L62" i="4"/>
  <c r="N42" i="4"/>
  <c r="L44" i="4"/>
  <c r="L52" i="4"/>
  <c r="L47" i="4"/>
  <c r="L45" i="4"/>
  <c r="L43" i="4"/>
  <c r="L51" i="4"/>
  <c r="L42" i="4"/>
  <c r="L50" i="4"/>
  <c r="L46" i="4"/>
  <c r="L48" i="4"/>
  <c r="L49" i="4"/>
  <c r="M59" i="4"/>
  <c r="M64" i="4"/>
  <c r="M67" i="4"/>
  <c r="M65" i="4"/>
  <c r="M61" i="4"/>
  <c r="M58" i="4"/>
  <c r="O58" i="4" s="1"/>
  <c r="M60" i="4"/>
  <c r="M66" i="4"/>
  <c r="M62" i="4"/>
  <c r="M63" i="4"/>
  <c r="M68" i="4"/>
  <c r="M46" i="4"/>
  <c r="M42" i="4"/>
  <c r="M50" i="4"/>
  <c r="M49" i="4"/>
  <c r="M48" i="4"/>
  <c r="M44" i="4"/>
  <c r="M47" i="4"/>
  <c r="M51" i="4"/>
  <c r="M45" i="4"/>
  <c r="M43" i="4"/>
  <c r="M52" i="4"/>
  <c r="L30" i="4"/>
  <c r="P30" i="4" s="1"/>
  <c r="C77" i="3"/>
  <c r="C133" i="3"/>
  <c r="L28" i="4"/>
  <c r="P28" i="4" s="1"/>
  <c r="L34" i="4"/>
  <c r="P34" i="4" s="1"/>
  <c r="L31" i="4"/>
  <c r="P31" i="4" s="1"/>
  <c r="L32" i="4"/>
  <c r="P32" i="4" s="1"/>
  <c r="L36" i="4"/>
  <c r="P36" i="4" s="1"/>
  <c r="L29" i="4"/>
  <c r="P29" i="4" s="1"/>
  <c r="L37" i="4"/>
  <c r="P37" i="4" s="1"/>
  <c r="L33" i="4"/>
  <c r="P33" i="4" s="1"/>
  <c r="C26" i="3"/>
  <c r="L27" i="4"/>
  <c r="P27" i="4" s="1"/>
  <c r="L35" i="4"/>
  <c r="P35" i="4" s="1"/>
  <c r="L13" i="4"/>
  <c r="P13" i="4" s="1"/>
  <c r="L15" i="4"/>
  <c r="P15" i="4" s="1"/>
  <c r="L20" i="4"/>
  <c r="P20" i="4" s="1"/>
  <c r="L22" i="4"/>
  <c r="P22" i="4" s="1"/>
  <c r="L16" i="4"/>
  <c r="P16" i="4" s="1"/>
  <c r="L17" i="4"/>
  <c r="P17" i="4" s="1"/>
  <c r="L18" i="4"/>
  <c r="P18" i="4" s="1"/>
  <c r="L21" i="4"/>
  <c r="P21" i="4" s="1"/>
  <c r="L23" i="4"/>
  <c r="P23" i="4" s="1"/>
  <c r="L14" i="4"/>
  <c r="P14" i="4" s="1"/>
  <c r="L19" i="4"/>
  <c r="P19" i="4" s="1"/>
  <c r="S7" i="4"/>
  <c r="C56" i="3"/>
  <c r="C72" i="3"/>
  <c r="C93" i="3"/>
  <c r="C21" i="3"/>
  <c r="C61" i="3"/>
  <c r="C29" i="3"/>
  <c r="C88" i="3"/>
  <c r="C46" i="3"/>
  <c r="C126" i="3"/>
  <c r="C63" i="3"/>
  <c r="C78" i="3"/>
  <c r="C122" i="3"/>
  <c r="C109" i="3"/>
  <c r="C117" i="3"/>
  <c r="C34" i="3"/>
  <c r="C39" i="3"/>
  <c r="C110" i="3"/>
  <c r="C20" i="3"/>
  <c r="C129" i="3"/>
  <c r="C65" i="3"/>
  <c r="C84" i="3"/>
  <c r="C115" i="3"/>
  <c r="C51" i="3"/>
  <c r="C60" i="3"/>
  <c r="C27" i="3"/>
  <c r="C79" i="3"/>
  <c r="C102" i="3"/>
  <c r="C80" i="3"/>
  <c r="C82" i="3"/>
  <c r="C64" i="3"/>
  <c r="C66" i="3"/>
  <c r="C105" i="3"/>
  <c r="C70" i="3"/>
  <c r="C47" i="3"/>
  <c r="C118" i="3"/>
  <c r="C103" i="3"/>
  <c r="C32" i="3"/>
  <c r="C106" i="3"/>
  <c r="C41" i="3"/>
  <c r="C124" i="3"/>
  <c r="C42" i="3"/>
  <c r="C94" i="3"/>
  <c r="C91" i="3"/>
  <c r="C55" i="3"/>
  <c r="C135" i="3"/>
  <c r="C86" i="3"/>
  <c r="C53" i="3"/>
  <c r="C23" i="3"/>
  <c r="D9" i="3" s="1"/>
  <c r="C120" i="3"/>
  <c r="C138" i="3"/>
  <c r="C89" i="3"/>
  <c r="C108" i="3"/>
  <c r="C139" i="3"/>
  <c r="D15" i="3" s="1"/>
  <c r="C85" i="3"/>
  <c r="C67" i="3"/>
  <c r="C119" i="3"/>
  <c r="C128" i="3"/>
  <c r="C127" i="3"/>
  <c r="C137" i="3"/>
  <c r="C73" i="3"/>
  <c r="C69" i="3"/>
  <c r="C92" i="3"/>
  <c r="C28" i="3"/>
  <c r="C101" i="3"/>
  <c r="C123" i="3"/>
  <c r="C59" i="3"/>
  <c r="C134" i="3"/>
  <c r="C98" i="3"/>
  <c r="C50" i="3"/>
  <c r="C33" i="3"/>
  <c r="C97" i="3"/>
  <c r="C52" i="3"/>
  <c r="C83" i="3"/>
  <c r="C95" i="3"/>
  <c r="C75" i="3"/>
  <c r="C111" i="3"/>
  <c r="C36" i="3"/>
  <c r="C125" i="3"/>
  <c r="C40" i="3"/>
  <c r="C22" i="3"/>
  <c r="C71" i="3"/>
  <c r="C74" i="3"/>
  <c r="C62" i="3"/>
  <c r="C121" i="3"/>
  <c r="C57" i="3"/>
  <c r="C37" i="3"/>
  <c r="C19" i="3"/>
  <c r="C76" i="3"/>
  <c r="C107" i="3"/>
  <c r="C43" i="3"/>
  <c r="C38" i="3"/>
  <c r="C87" i="3"/>
  <c r="C130" i="3"/>
  <c r="C112" i="3"/>
  <c r="C114" i="3"/>
  <c r="C96" i="3"/>
  <c r="C116" i="3"/>
  <c r="C25" i="3"/>
  <c r="C44" i="3"/>
  <c r="C81" i="3"/>
  <c r="C100" i="3"/>
  <c r="C131" i="3"/>
  <c r="C58" i="3"/>
  <c r="C48" i="3"/>
  <c r="C90" i="3"/>
  <c r="C31" i="3"/>
  <c r="C113" i="3"/>
  <c r="C49" i="3"/>
  <c r="C132" i="3"/>
  <c r="C68" i="3"/>
  <c r="C45" i="3"/>
  <c r="C99" i="3"/>
  <c r="C35" i="3"/>
  <c r="C54" i="3"/>
  <c r="P42" i="4" l="1"/>
  <c r="Q42" i="4" s="1"/>
  <c r="P58" i="4"/>
  <c r="Q58" i="4" s="1"/>
  <c r="E15" i="3"/>
  <c r="D14" i="3"/>
  <c r="E14" i="3" s="1"/>
  <c r="D7" i="3"/>
  <c r="E7" i="3" s="1"/>
  <c r="D12" i="3"/>
  <c r="E12" i="3" s="1"/>
  <c r="D8" i="3"/>
  <c r="E8" i="3" s="1"/>
  <c r="D10" i="3"/>
  <c r="E10" i="3" s="1"/>
  <c r="E9" i="3"/>
  <c r="D11" i="3"/>
  <c r="E11" i="3" s="1"/>
  <c r="D13" i="3"/>
  <c r="E13" i="3" s="1"/>
  <c r="O46" i="4"/>
  <c r="N46" i="4"/>
  <c r="O50" i="4"/>
  <c r="N50" i="4"/>
  <c r="O48" i="4"/>
  <c r="N48" i="4"/>
  <c r="N49" i="4"/>
  <c r="O49" i="4"/>
  <c r="N53" i="4"/>
  <c r="O53" i="4"/>
  <c r="N47" i="4"/>
  <c r="O47" i="4"/>
  <c r="N45" i="4"/>
  <c r="O45" i="4"/>
  <c r="O51" i="4"/>
  <c r="N51" i="4"/>
  <c r="O43" i="4"/>
  <c r="N43" i="4"/>
  <c r="N52" i="4"/>
  <c r="O52" i="4"/>
  <c r="O44" i="4"/>
  <c r="N44" i="4"/>
  <c r="Q34" i="4"/>
  <c r="Q33" i="4"/>
  <c r="Q32" i="4"/>
  <c r="Q36" i="4"/>
  <c r="Q29" i="4"/>
  <c r="Q31" i="4"/>
  <c r="N4" i="2" a="1"/>
  <c r="Q35" i="4"/>
  <c r="Q37" i="4"/>
  <c r="Q28" i="4"/>
  <c r="Q27" i="4"/>
  <c r="Q30" i="4"/>
  <c r="Q14" i="4"/>
  <c r="Q17" i="4"/>
  <c r="Q18" i="4"/>
  <c r="Q22" i="4"/>
  <c r="Q15" i="4"/>
  <c r="Q16" i="4"/>
  <c r="Q21" i="4"/>
  <c r="Q19" i="4"/>
  <c r="Q13" i="4"/>
  <c r="Q23" i="4"/>
  <c r="Q20" i="4"/>
  <c r="P6" i="3" l="1"/>
  <c r="P50" i="4"/>
  <c r="P45" i="4"/>
  <c r="P49" i="4"/>
  <c r="P51" i="4"/>
  <c r="P44" i="4"/>
  <c r="P48" i="4"/>
  <c r="P52" i="4"/>
  <c r="P47" i="4"/>
  <c r="P43" i="4"/>
  <c r="Q43" i="4" s="1"/>
  <c r="P53" i="4"/>
  <c r="P46" i="4"/>
  <c r="N119" i="2"/>
  <c r="N111" i="2"/>
  <c r="N103" i="2"/>
  <c r="N95" i="2"/>
  <c r="N87" i="2"/>
  <c r="N79" i="2"/>
  <c r="N71" i="2"/>
  <c r="N63" i="2"/>
  <c r="N55" i="2"/>
  <c r="N47" i="2"/>
  <c r="N39" i="2"/>
  <c r="N31" i="2"/>
  <c r="N23" i="2"/>
  <c r="N15" i="2"/>
  <c r="N7" i="2"/>
  <c r="N12" i="2"/>
  <c r="N121" i="2"/>
  <c r="N113" i="2"/>
  <c r="N105" i="2"/>
  <c r="N97" i="2"/>
  <c r="N89" i="2"/>
  <c r="N81" i="2"/>
  <c r="N73" i="2"/>
  <c r="N65" i="2"/>
  <c r="N57" i="2"/>
  <c r="N41" i="2"/>
  <c r="N25" i="2"/>
  <c r="N124" i="2"/>
  <c r="N116" i="2"/>
  <c r="N108" i="2"/>
  <c r="N100" i="2"/>
  <c r="N92" i="2"/>
  <c r="N84" i="2"/>
  <c r="N76" i="2"/>
  <c r="N68" i="2"/>
  <c r="N60" i="2"/>
  <c r="N52" i="2"/>
  <c r="N44" i="2"/>
  <c r="N36" i="2"/>
  <c r="N28" i="2"/>
  <c r="N20" i="2"/>
  <c r="N49" i="2"/>
  <c r="N33" i="2"/>
  <c r="N17" i="2"/>
  <c r="N9" i="2"/>
  <c r="N117" i="2"/>
  <c r="N109" i="2"/>
  <c r="N101" i="2"/>
  <c r="N93" i="2"/>
  <c r="N85" i="2"/>
  <c r="N77" i="2"/>
  <c r="N69" i="2"/>
  <c r="N61" i="2"/>
  <c r="N53" i="2"/>
  <c r="N45" i="2"/>
  <c r="N37" i="2"/>
  <c r="N29" i="2"/>
  <c r="N21" i="2"/>
  <c r="N13" i="2"/>
  <c r="N5" i="2"/>
  <c r="N122" i="2"/>
  <c r="N114" i="2"/>
  <c r="N106" i="2"/>
  <c r="N98" i="2"/>
  <c r="N90" i="2"/>
  <c r="N82" i="2"/>
  <c r="N74" i="2"/>
  <c r="N66" i="2"/>
  <c r="N58" i="2"/>
  <c r="N50" i="2"/>
  <c r="N42" i="2"/>
  <c r="N34" i="2"/>
  <c r="N26" i="2"/>
  <c r="N18" i="2"/>
  <c r="N10" i="2"/>
  <c r="N102" i="2"/>
  <c r="N96" i="2"/>
  <c r="N67" i="2"/>
  <c r="N38" i="2"/>
  <c r="N32" i="2"/>
  <c r="N11" i="2"/>
  <c r="N4" i="2"/>
  <c r="N107" i="2"/>
  <c r="N78" i="2"/>
  <c r="N8" i="2"/>
  <c r="N62" i="2"/>
  <c r="N6" i="2"/>
  <c r="N112" i="2"/>
  <c r="N19" i="2"/>
  <c r="N123" i="2"/>
  <c r="N94" i="2"/>
  <c r="N88" i="2"/>
  <c r="N59" i="2"/>
  <c r="N30" i="2"/>
  <c r="N24" i="2"/>
  <c r="N118" i="2"/>
  <c r="N115" i="2"/>
  <c r="N86" i="2"/>
  <c r="N80" i="2"/>
  <c r="N51" i="2"/>
  <c r="N22" i="2"/>
  <c r="N16" i="2"/>
  <c r="N72" i="2"/>
  <c r="N43" i="2"/>
  <c r="N14" i="2"/>
  <c r="N99" i="2"/>
  <c r="N70" i="2"/>
  <c r="N64" i="2"/>
  <c r="N35" i="2"/>
  <c r="N120" i="2"/>
  <c r="N91" i="2"/>
  <c r="N27" i="2"/>
  <c r="N83" i="2"/>
  <c r="N54" i="2"/>
  <c r="N48" i="2"/>
  <c r="N110" i="2"/>
  <c r="N104" i="2"/>
  <c r="N75" i="2"/>
  <c r="N46" i="2"/>
  <c r="N40" i="2"/>
  <c r="N56" i="2"/>
  <c r="N61" i="4"/>
  <c r="N60" i="4"/>
  <c r="N66" i="4"/>
  <c r="O66" i="4"/>
  <c r="O60" i="4"/>
  <c r="O61" i="4"/>
  <c r="N67" i="4"/>
  <c r="L58" i="4"/>
  <c r="O67" i="4"/>
  <c r="N65" i="4"/>
  <c r="N62" i="4"/>
  <c r="N68" i="4"/>
  <c r="O68" i="4"/>
  <c r="N64" i="4"/>
  <c r="O64" i="4"/>
  <c r="O62" i="4"/>
  <c r="N69" i="4"/>
  <c r="O69" i="4"/>
  <c r="O65" i="4"/>
  <c r="N63" i="4"/>
  <c r="O63" i="4"/>
  <c r="Q44" i="4" l="1"/>
  <c r="Q45" i="4" s="1"/>
  <c r="Q46" i="4" s="1"/>
  <c r="Q47" i="4" s="1"/>
  <c r="Q48" i="4" s="1"/>
  <c r="Q49" i="4" s="1"/>
  <c r="Q50" i="4" s="1"/>
  <c r="Q51" i="4" s="1"/>
  <c r="Q52" i="4" s="1"/>
  <c r="Q53" i="4" s="1"/>
  <c r="N59" i="4"/>
  <c r="O59" i="4"/>
  <c r="P59" i="4" s="1"/>
  <c r="Q59" i="4" s="1"/>
  <c r="P62" i="4"/>
  <c r="P61" i="4"/>
  <c r="P64" i="4"/>
  <c r="P67" i="4"/>
  <c r="P65" i="4"/>
  <c r="P66" i="4"/>
  <c r="P63" i="4"/>
  <c r="P68" i="4"/>
  <c r="P69" i="4"/>
  <c r="P60" i="4"/>
  <c r="Q60" i="4" l="1"/>
  <c r="Q61" i="4" s="1"/>
  <c r="Q62" i="4" s="1"/>
  <c r="Q63" i="4" s="1"/>
  <c r="Q64" i="4" s="1"/>
  <c r="Q65" i="4" s="1"/>
  <c r="Q66" i="4" s="1"/>
  <c r="Q67" i="4" s="1"/>
  <c r="Q68" i="4" s="1"/>
  <c r="Q69"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<sst xmlns="http://schemas.openxmlformats.org/spreadsheetml/2006/main" count="101" uniqueCount="63">
  <si>
    <t>US</t>
  </si>
  <si>
    <t>UK</t>
  </si>
  <si>
    <t>JP</t>
  </si>
  <si>
    <t>maturity</t>
  </si>
  <si>
    <t>yield</t>
  </si>
  <si>
    <t>beta_0</t>
  </si>
  <si>
    <t>beta_1</t>
  </si>
  <si>
    <t>beta_2</t>
  </si>
  <si>
    <t>lambda</t>
  </si>
  <si>
    <t>ns</t>
  </si>
  <si>
    <t>err</t>
  </si>
  <si>
    <t xml:space="preserve"> </t>
  </si>
  <si>
    <t>use</t>
  </si>
  <si>
    <t>level</t>
  </si>
  <si>
    <t>slope</t>
  </si>
  <si>
    <t>curvature</t>
  </si>
  <si>
    <t>don’t_use</t>
  </si>
  <si>
    <t>hump_location</t>
  </si>
  <si>
    <t>market</t>
  </si>
  <si>
    <t>nelson-siegel coefficients</t>
  </si>
  <si>
    <t>factor loadings</t>
  </si>
  <si>
    <t>obs_date</t>
  </si>
  <si>
    <t>sum_sq_err</t>
  </si>
  <si>
    <t>use [1 or 0]</t>
  </si>
  <si>
    <t>optimise</t>
  </si>
  <si>
    <t>mat_t0</t>
  </si>
  <si>
    <t>mat_t1</t>
  </si>
  <si>
    <t>yield_t0</t>
  </si>
  <si>
    <t>yield_t1</t>
  </si>
  <si>
    <t>roll_inc</t>
  </si>
  <si>
    <t>tot_ret</t>
  </si>
  <si>
    <t>duration</t>
  </si>
  <si>
    <t>coup_inc</t>
  </si>
  <si>
    <t>current</t>
  </si>
  <si>
    <t>scenario</t>
  </si>
  <si>
    <t>ss_err_scen</t>
  </si>
  <si>
    <t>error</t>
  </si>
  <si>
    <t>model</t>
  </si>
  <si>
    <t>unchanged curve</t>
  </si>
  <si>
    <t>scenario curve</t>
  </si>
  <si>
    <t>hump mat</t>
  </si>
  <si>
    <t>IT</t>
  </si>
  <si>
    <t>DE</t>
  </si>
  <si>
    <t>Yield</t>
  </si>
  <si>
    <t>Coupon</t>
  </si>
  <si>
    <t>Duration</t>
  </si>
  <si>
    <t>Price</t>
  </si>
  <si>
    <t>Maturity (yrs)</t>
  </si>
  <si>
    <t>Settlement Date</t>
  </si>
  <si>
    <t>Maturity Date</t>
  </si>
  <si>
    <t>Buy</t>
  </si>
  <si>
    <t>Sell</t>
  </si>
  <si>
    <t>Return via PRICE</t>
  </si>
  <si>
    <t>Return via Duration</t>
  </si>
  <si>
    <t>mat</t>
  </si>
  <si>
    <t>constant maturity a</t>
  </si>
  <si>
    <t>scen_mat_a</t>
  </si>
  <si>
    <t>scen_mat_b</t>
  </si>
  <si>
    <t>price_inc</t>
  </si>
  <si>
    <t>tot_ret_path</t>
  </si>
  <si>
    <t>mat-1m</t>
  </si>
  <si>
    <t>yield-1m</t>
  </si>
  <si>
    <t>constant maturity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</si>
</sst>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0;&quot;-&quot;"/>
    <numFmt numFmtId="166" formatCode="yyyy\-mm\-dd"/>
    <numFmt numFmtId="167" formatCode="0.00%;[Red]\-0.00%"/>
  </numFmts>
  <fonts count="10" x14ac:knownFonts="1">
    <font>
      <sz val="11"/>
      <color theme="1"/>
      <name val="Calibri"/>
      <family val="2"/>
      <scheme val="minor"/>
    </font>
    <font>
      <sz val="12"/>
      <color theme="1"/>
      <name val="Calibri"/>
      <family val="2"/>
      <scheme val="minor"/>
    </font>
    <font>
      <sz val="11"/>
      <color theme="1"/>
      <name val="Calibri"/>
      <family val="2"/>
      <scheme val="minor"/>
    </font>
    <font>
      <sz val="11"/>
      <color theme="6" tint="0.39997558519241921"/>
      <name val="Calibri"/>
      <family val="2"/>
      <scheme val="minor"/>
    </font>
    <font>
      <sz val="11"/>
      <color theme="0"/>
      <name val="Calibri"/>
      <family val="2"/>
      <scheme val="minor"/>
    </font>
    <font>
      <b/>
      <sz val="11"/>
      <color theme="1"/>
      <name val="Calibri"/>
      <family val="2"/>
      <scheme val="minor"/>
    </font>
    <font>
      <sz val="11"/>
      <color theme="9" tint="0.59999389629810485"/>
      <name val="Calibri"/>
      <family val="2"/>
      <scheme val="minor"/>
    </font>
    <font>
      <sz val="12"/>
      <color rgb="FF000000"/>
      <name val="Calibri"/>
      <family val="2"/>
    </font>
    <font>
      <b/>
      <sz val="11"/>
      <color theme="0"/>
      <name val="Calibri"/>
      <family val="2"/>
      <scheme val="minor"/>
    </font>
    <font>
      <sz val="8"/>
      <name val="Calibri"/>
      <family val="2"/>
      <scheme val="minor"/>
    </font>
  </fonts>
  <fills count="13">
    <fill>
      <patternFill patternType="none"/>
    </fill>
    <fill>
      <patternFill patternType="gray125"/>
    </fill>
    <fill>
      <patternFill patternType="solid">
        <fgColor theme="4"/>
        <bgColor indexed="64"/>
      </patternFill>
    </fill>
    <fill>
      <patternFill patternType="solid">
        <fgColor theme="1" tint="0.89999084444715716"/>
        <bgColor indexed="64"/>
      </patternFill>
    </fill>
    <fill>
      <patternFill patternType="solid">
        <fgColor theme="5"/>
        <bgColor indexed="64"/>
      </patternFill>
    </fill>
    <fill>
      <patternFill patternType="solid">
        <fgColor theme="0" tint="-0.14999847407452621"/>
        <bgColor indexed="64"/>
      </patternFill>
    </fill>
    <fill>
      <patternFill patternType="solid">
        <fgColor theme="8"/>
        <bgColor indexed="64"/>
      </patternFill>
    </fill>
    <fill>
      <patternFill patternType="solid">
        <fgColor theme="6"/>
        <bgColor indexed="64"/>
      </patternFill>
    </fill>
    <fill>
      <patternFill patternType="solid">
        <fgColor theme="7" tint="0.79998168889431442"/>
        <bgColor indexed="64"/>
      </patternFill>
    </fill>
    <fill>
      <patternFill patternType="solid">
        <fgColor theme="9"/>
        <bgColor indexed="64"/>
      </patternFill>
    </fill>
    <fill>
      <patternFill patternType="solid">
        <fgColor theme="3" tint="0.79998168889431442"/>
        <bgColor indexed="64"/>
      </patternFill>
    </fill>
    <fill>
      <patternFill patternType="solid">
        <fgColor theme="7"/>
        <bgColor indexed="64"/>
      </patternFill>
    </fill>
    <fill>
      <patternFill patternType="solid">
        <fgColor theme="1" tint="0.74999237037263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0" fontId="1" fillId="0" borderId="0"/>
  </cellStyleXfs>
  <cellXfs count="45">
    <xf numFmtId="0" fontId="0" fillId="0" borderId="0" xfId="0"/>
    <xf numFmtId="0" fontId="0" fillId="0" borderId="0" xfId="0"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4" fillId="2" borderId="0" xfId="0" applyFont="1" applyFill="1" applyAlignment="1">
      <alignment horizontal="center"/>
    </xf>
    <xf numFmtId="0" fontId="0" fillId="3" borderId="0" xfId="0" applyFill="1" applyAlignment="1">
      <alignment horizontal="center"/>
    </xf>
    <xf numFmtId="2" fontId="0" fillId="3" borderId="0" xfId="0" applyNumberFormat="1" applyFill="1" applyAlignment="1">
      <alignment horizontal="center"/>
    </xf>
    <xf numFmtId="165" fontId="0" fillId="3" borderId="0" xfId="0" applyNumberFormat="1" applyFill="1" applyAlignment="1">
      <alignment horizontal="center"/>
    </xf>
    <xf numFmtId="0" fontId="5" fillId="3" borderId="0" xfId="0" applyFont="1" applyFill="1" applyAlignment="1">
      <alignment horizontal="center"/>
    </xf>
    <xf numFmtId="0" fontId="4" fillId="4" borderId="0" xfId="0" applyFont="1" applyFill="1" applyAlignment="1">
      <alignment horizontal="center"/>
    </xf>
    <xf numFmtId="2" fontId="4" fillId="4" borderId="0" xfId="0" applyNumberFormat="1" applyFont="1" applyFill="1" applyAlignment="1">
      <alignment horizontal="center"/>
    </xf>
    <xf numFmtId="164" fontId="0" fillId="3" borderId="0" xfId="0" applyNumberFormat="1" applyFill="1" applyAlignment="1">
      <alignment horizontal="center"/>
    </xf>
    <xf numFmtId="0" fontId="0" fillId="5" borderId="0" xfId="0" applyFill="1" applyAlignment="1">
      <alignment horizontal="center"/>
    </xf>
    <xf numFmtId="164" fontId="0" fillId="5" borderId="0" xfId="0" applyNumberFormat="1" applyFill="1" applyAlignment="1">
      <alignment horizontal="center"/>
    </xf>
    <xf numFmtId="2" fontId="5" fillId="3" borderId="0" xfId="0" applyNumberFormat="1" applyFont="1" applyFill="1" applyAlignment="1">
      <alignment horizontal="center"/>
    </xf>
    <xf numFmtId="0" fontId="4" fillId="6" borderId="0" xfId="0" applyFont="1" applyFill="1" applyAlignment="1">
      <alignment horizontal="left"/>
    </xf>
    <xf numFmtId="0" fontId="4" fillId="6" borderId="0" xfId="0" applyFont="1" applyFill="1" applyAlignment="1">
      <alignment horizontal="center"/>
    </xf>
    <xf numFmtId="0" fontId="4" fillId="7" borderId="0" xfId="0" applyFont="1" applyFill="1" applyAlignment="1">
      <alignment horizontal="center"/>
    </xf>
    <xf numFmtId="164" fontId="0" fillId="8" borderId="0" xfId="0" applyNumberFormat="1" applyFill="1" applyAlignment="1">
      <alignment horizontal="center"/>
    </xf>
    <xf numFmtId="0" fontId="6" fillId="8" borderId="0" xfId="0" applyFont="1" applyFill="1" applyAlignment="1">
      <alignment horizontal="center"/>
    </xf>
    <xf numFmtId="0" fontId="6" fillId="8" borderId="0" xfId="0" applyFont="1" applyFill="1"/>
    <xf numFmtId="0" fontId="0" fillId="8" borderId="0" xfId="0" applyFill="1" applyAlignment="1">
      <alignment horizontal="center"/>
    </xf>
    <xf numFmtId="0" fontId="4" fillId="9" borderId="0" xfId="0" applyFont="1" applyFill="1" applyAlignment="1">
      <alignment horizontal="center"/>
    </xf>
    <xf numFmtId="2" fontId="3" fillId="0" borderId="0" xfId="0" applyNumberFormat="1" applyFont="1" applyAlignment="1">
      <alignment horizontal="center"/>
    </xf>
    <xf numFmtId="0" fontId="8" fillId="2" borderId="0" xfId="0" applyFont="1" applyFill="1" applyAlignment="1">
      <alignment horizontal="left"/>
    </xf>
    <xf numFmtId="10" fontId="0" fillId="3" borderId="0" xfId="1" applyNumberFormat="1" applyFont="1" applyFill="1" applyAlignment="1">
      <alignment horizontal="center"/>
    </xf>
    <xf numFmtId="0" fontId="8" fillId="4" borderId="0" xfId="0" applyFont="1" applyFill="1" applyAlignment="1">
      <alignment horizontal="left"/>
    </xf>
    <xf numFmtId="0" fontId="0" fillId="0" borderId="0" xfId="0" applyAlignment="1">
      <alignment horizontal="right"/>
    </xf>
    <xf numFmtId="0" fontId="5" fillId="0" borderId="0" xfId="0" applyFont="1" applyAlignment="1">
      <alignment horizontal="center"/>
    </xf>
    <xf numFmtId="10" fontId="0" fillId="10" borderId="0" xfId="0" applyNumberFormat="1" applyFill="1" applyAlignment="1">
      <alignment horizontal="center"/>
    </xf>
    <xf numFmtId="0" fontId="0" fillId="10" borderId="0" xfId="0" applyFill="1" applyAlignment="1">
      <alignment horizontal="center"/>
    </xf>
    <xf numFmtId="166" fontId="0" fillId="3" borderId="0" xfId="0" applyNumberFormat="1" applyFill="1" applyAlignment="1">
      <alignment horizontal="center"/>
    </xf>
    <xf numFmtId="2" fontId="0" fillId="10" borderId="0" xfId="0" applyNumberFormat="1" applyFill="1" applyAlignment="1">
      <alignment horizontal="center"/>
    </xf>
    <xf numFmtId="0" fontId="8" fillId="11" borderId="0" xfId="0" applyFont="1" applyFill="1" applyAlignment="1">
      <alignment horizontal="left"/>
    </xf>
    <xf numFmtId="0" fontId="4" fillId="11" borderId="0" xfId="0" applyFont="1" applyFill="1" applyAlignment="1">
      <alignment horizontal="center"/>
    </xf>
    <xf numFmtId="0" fontId="4" fillId="11" borderId="0" xfId="0" quotePrefix="1" applyFont="1" applyFill="1" applyAlignment="1">
      <alignment horizontal="center"/>
    </xf>
    <xf numFmtId="0" fontId="8" fillId="6" borderId="0" xfId="0" applyFont="1" applyFill="1" applyAlignment="1">
      <alignment horizontal="left"/>
    </xf>
    <xf numFmtId="0" fontId="4" fillId="6" borderId="0" xfId="0" quotePrefix="1" applyFont="1" applyFill="1" applyAlignment="1">
      <alignment horizontal="center"/>
    </xf>
    <xf numFmtId="167" fontId="0" fillId="3" borderId="0" xfId="1" applyNumberFormat="1" applyFont="1" applyFill="1" applyAlignment="1">
      <alignment horizontal="center"/>
    </xf>
    <xf numFmtId="167" fontId="0" fillId="3" borderId="0" xfId="0" applyNumberFormat="1" applyFill="1" applyAlignment="1">
      <alignment horizontal="center"/>
    </xf>
    <xf numFmtId="167" fontId="5" fillId="3" borderId="0" xfId="1" applyNumberFormat="1" applyFont="1" applyFill="1" applyAlignment="1">
      <alignment horizontal="center"/>
    </xf>
    <xf numFmtId="2" fontId="0" fillId="12" borderId="0" xfId="0" applyNumberFormat="1" applyFill="1" applyAlignment="1">
      <alignment horizontal="center"/>
    </xf>
    <xf numFmtId="166" fontId="3" fillId="0" borderId="0" xfId="0" applyNumberFormat="1" applyFont="1" applyAlignment="1">
      <alignment horizontal="center"/>
    </xf>
    <xf numFmtId="166" fontId="0" fillId="3" borderId="0" xfId="0" applyNumberFormat="1" applyFill="1" applyAlignment="1">
      <alignment horizontal="center" vertical="center"/>
    </xf>
  </cellXfs>
  <cellStyles count="3">
    <cellStyle name="Normal" xfId="0" builtinId="0"/>
    <cellStyle name="Normal 2" xfId="2" xr:uid="{D63644C6-2A67-A643-89D4-CF6639884F28}"/>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Generic Yields and Fitted Curve</a:t>
            </a:r>
          </a:p>
        </c:rich>
      </c:tx>
      <c:layout>
        <c:manualLayout>
          <c:xMode val="edge"/>
          <c:yMode val="edge"/>
          <c:x val="1.2482694844491564E-2"/>
          <c:y val="1.6722408026755852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scatterChart>
        <c:scatterStyle val="lineMarker"/>
        <c:varyColors val="0"/>
        <c:ser>
          <c:idx val="1"/>
          <c:order val="0"/>
          <c:tx>
            <c:v>ns</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NS!$C$19:$C$139</c:f>
              <c:numCache>
                <c:formatCode>0.00</c:formatCode>
                <c:ptCount val="121"/>
                <c:pt idx="0">
                  <c:v>4.0223564276355948</c:v>
                </c:pt>
                <c:pt idx="1">
                  <c:v>3.914750586768164</c:v>
                </c:pt>
                <c:pt idx="2">
                  <c:v>3.8250970131489894</c:v>
                </c:pt>
                <c:pt idx="3">
                  <c:v>3.7522314685494669</c:v>
                </c:pt>
                <c:pt idx="4">
                  <c:v>3.6939878494590559</c:v>
                </c:pt>
                <c:pt idx="5">
                  <c:v>3.6484542861249176</c:v>
                </c:pt>
                <c:pt idx="6">
                  <c:v>3.6139444498770694</c:v>
                </c:pt>
                <c:pt idx="7">
                  <c:v>3.5889720342425084</c:v>
                </c:pt>
                <c:pt idx="8">
                  <c:v>3.572228062873235</c:v>
                </c:pt>
                <c:pt idx="9">
                  <c:v>3.5625607149653957</c:v>
                </c:pt>
                <c:pt idx="10">
                  <c:v>3.5589573924336144</c:v>
                </c:pt>
                <c:pt idx="11">
                  <c:v>3.5605287830633925</c:v>
                </c:pt>
                <c:pt idx="12">
                  <c:v>3.5664947005857495</c:v>
                </c:pt>
                <c:pt idx="13">
                  <c:v>3.5761715064504571</c:v>
                </c:pt>
                <c:pt idx="14">
                  <c:v>3.5889609393286346</c:v>
                </c:pt>
                <c:pt idx="15">
                  <c:v>3.6043401973296429</c:v>
                </c:pt>
                <c:pt idx="16">
                  <c:v>3.6218531348191809</c:v>
                </c:pt>
                <c:pt idx="17">
                  <c:v>3.6411024507963714</c:v>
                </c:pt>
                <c:pt idx="18">
                  <c:v>3.6617427592250529</c:v>
                </c:pt>
                <c:pt idx="19">
                  <c:v>3.6834744436945357</c:v>
                </c:pt>
                <c:pt idx="20">
                  <c:v>3.7060382094651985</c:v>
                </c:pt>
                <c:pt idx="21">
                  <c:v>3.7292102554747322</c:v>
                </c:pt>
                <c:pt idx="22">
                  <c:v>3.7527979973669492</c:v>
                </c:pt>
                <c:pt idx="23">
                  <c:v>3.7766362801685922</c:v>
                </c:pt>
                <c:pt idx="24">
                  <c:v>3.8005840259802666</c:v>
                </c:pt>
                <c:pt idx="25">
                  <c:v>3.8245212680544829</c:v>
                </c:pt>
                <c:pt idx="26">
                  <c:v>3.8483465279863163</c:v>
                </c:pt>
                <c:pt idx="27">
                  <c:v>3.8719744975110579</c:v>
                </c:pt>
                <c:pt idx="28">
                  <c:v>3.8953339906518893</c:v>
                </c:pt>
                <c:pt idx="29">
                  <c:v>3.9183661357452459</c:v>
                </c:pt>
                <c:pt idx="30">
                  <c:v>3.9410227802426423</c:v>
                </c:pt>
                <c:pt idx="31">
                  <c:v>3.9632650841900103</c:v>
                </c:pt>
                <c:pt idx="32">
                  <c:v>3.9850622809593048</c:v>
                </c:pt>
                <c:pt idx="33">
                  <c:v>4.0063905861877132</c:v>
                </c:pt>
                <c:pt idx="34">
                  <c:v>4.0272322379994039</c:v>
                </c:pt>
                <c:pt idx="35">
                  <c:v>4.0475746534714823</c:v>
                </c:pt>
                <c:pt idx="36">
                  <c:v>4.0674096879852755</c:v>
                </c:pt>
                <c:pt idx="37">
                  <c:v>4.0867329855986601</c:v>
                </c:pt>
                <c:pt idx="38">
                  <c:v>4.1055434099051009</c:v>
                </c:pt>
                <c:pt idx="39">
                  <c:v>4.1238425460283628</c:v>
                </c:pt>
                <c:pt idx="40">
                  <c:v>4.1416342654544183</c:v>
                </c:pt>
                <c:pt idx="41">
                  <c:v>4.158924346338333</c:v>
                </c:pt>
                <c:pt idx="42">
                  <c:v>4.175720142756397</c:v>
                </c:pt>
                <c:pt idx="43">
                  <c:v>4.1920302971140453</c:v>
                </c:pt>
                <c:pt idx="44">
                  <c:v>4.2078644905780926</c:v>
                </c:pt>
                <c:pt idx="45">
                  <c:v>4.2232332269867126</c:v>
                </c:pt>
                <c:pt idx="46">
                  <c:v>4.2381476462101881</c:v>
                </c:pt>
                <c:pt idx="47">
                  <c:v>4.2526193633972582</c:v>
                </c:pt>
                <c:pt idx="48">
                  <c:v>4.2666603309518853</c:v>
                </c:pt>
                <c:pt idx="49">
                  <c:v>4.2802827204494802</c:v>
                </c:pt>
                <c:pt idx="50">
                  <c:v>4.2934988220248904</c:v>
                </c:pt>
                <c:pt idx="51">
                  <c:v>4.3063209590513924</c:v>
                </c:pt>
                <c:pt idx="52">
                  <c:v>4.3187614161845609</c:v>
                </c:pt>
                <c:pt idx="53">
                  <c:v>4.3308323790707126</c:v>
                </c:pt>
                <c:pt idx="54">
                  <c:v>4.3425458842199056</c:v>
                </c:pt>
                <c:pt idx="55">
                  <c:v>4.3539137777210568</c:v>
                </c:pt>
                <c:pt idx="56">
                  <c:v>4.3649476816340531</c:v>
                </c:pt>
                <c:pt idx="57">
                  <c:v>4.3756589670331358</c:v>
                </c:pt>
                <c:pt idx="58">
                  <c:v>4.3860587327993086</c:v>
                </c:pt>
                <c:pt idx="59">
                  <c:v>4.396157789368746</c:v>
                </c:pt>
                <c:pt idx="60">
                  <c:v>4.4059666467409002</c:v>
                </c:pt>
                <c:pt idx="61">
                  <c:v>4.4154955061355192</c:v>
                </c:pt>
                <c:pt idx="62">
                  <c:v>4.4247542547633651</c:v>
                </c:pt>
                <c:pt idx="63">
                  <c:v>4.4337524632422518</c:v>
                </c:pt>
                <c:pt idx="64">
                  <c:v>4.4424993852489667</c:v>
                </c:pt>
                <c:pt idx="65">
                  <c:v>4.4510039590497525</c:v>
                </c:pt>
                <c:pt idx="66">
                  <c:v>4.4592748105979183</c:v>
                </c:pt>
                <c:pt idx="67">
                  <c:v>4.4673202579276241</c:v>
                </c:pt>
                <c:pt idx="68">
                  <c:v>4.475148316608573</c:v>
                </c:pt>
                <c:pt idx="69">
                  <c:v>4.482766706057709</c:v>
                </c:pt>
                <c:pt idx="70">
                  <c:v>4.4901828565316126</c:v>
                </c:pt>
                <c:pt idx="71">
                  <c:v>4.4974039166475919</c:v>
                </c:pt>
                <c:pt idx="72">
                  <c:v>4.5044367613027045</c:v>
                </c:pt>
                <c:pt idx="73">
                  <c:v>4.5112879998786637</c:v>
                </c:pt>
                <c:pt idx="74">
                  <c:v>4.5179639846369515</c:v>
                </c:pt>
                <c:pt idx="75">
                  <c:v>4.5244708192227296</c:v>
                </c:pt>
                <c:pt idx="76">
                  <c:v>4.5308143672087393</c:v>
                </c:pt>
                <c:pt idx="77">
                  <c:v>4.5370002606212081</c:v>
                </c:pt>
                <c:pt idx="78">
                  <c:v>4.5430339083993836</c:v>
                </c:pt>
                <c:pt idx="79">
                  <c:v>4.5489205047485344</c:v>
                </c:pt>
                <c:pt idx="80">
                  <c:v>4.5546650373534794</c:v>
                </c:pt>
                <c:pt idx="81">
                  <c:v>4.5602722954259249</c:v>
                </c:pt>
                <c:pt idx="82">
                  <c:v>4.5657468775642815</c:v>
                </c:pt>
                <c:pt idx="83">
                  <c:v>4.5710931994092743</c:v>
                </c:pt>
                <c:pt idx="84">
                  <c:v>4.5763155010826457</c:v>
                </c:pt>
                <c:pt idx="85">
                  <c:v>4.5814178543997119</c:v>
                </c:pt>
                <c:pt idx="86">
                  <c:v>4.5864041698493905</c:v>
                </c:pt>
                <c:pt idx="87">
                  <c:v>4.5912782033378869</c:v>
                </c:pt>
                <c:pt idx="88">
                  <c:v>4.5960435626942679</c:v>
                </c:pt>
                <c:pt idx="89">
                  <c:v>4.6007037139379507</c:v>
                </c:pt>
                <c:pt idx="90">
                  <c:v>4.6052619873096292</c:v>
                </c:pt>
                <c:pt idx="91">
                  <c:v>4.6097215830683567</c:v>
                </c:pt>
                <c:pt idx="92">
                  <c:v>4.6140855770585469</c:v>
                </c:pt>
                <c:pt idx="93">
                  <c:v>4.618356926051467</c:v>
                </c:pt>
                <c:pt idx="94">
                  <c:v>4.6225384728664389</c:v>
                </c:pt>
                <c:pt idx="95">
                  <c:v>4.6266329512774957</c:v>
                </c:pt>
                <c:pt idx="96">
                  <c:v>4.6306429907116406</c:v>
                </c:pt>
                <c:pt idx="97">
                  <c:v>4.6345711207451279</c:v>
                </c:pt>
                <c:pt idx="98">
                  <c:v>4.6384197754043885</c:v>
                </c:pt>
                <c:pt idx="99">
                  <c:v>4.6421912972783668</c:v>
                </c:pt>
                <c:pt idx="100">
                  <c:v>4.6458879414490699</c:v>
                </c:pt>
                <c:pt idx="101">
                  <c:v>4.6495118792471644</c:v>
                </c:pt>
                <c:pt idx="102">
                  <c:v>4.653065201839393</c:v>
                </c:pt>
                <c:pt idx="103">
                  <c:v>4.65654992365452</c:v>
                </c:pt>
                <c:pt idx="104">
                  <c:v>4.6599679856544229</c:v>
                </c:pt>
                <c:pt idx="105">
                  <c:v>4.6633212584567731</c:v>
                </c:pt>
                <c:pt idx="106">
                  <c:v>4.6666115453156625</c:v>
                </c:pt>
                <c:pt idx="107">
                  <c:v>4.669840584966293</c:v>
                </c:pt>
                <c:pt idx="108">
                  <c:v>4.6730100543397288</c:v>
                </c:pt>
                <c:pt idx="109">
                  <c:v>4.6761215711534962</c:v>
                </c:pt>
                <c:pt idx="110">
                  <c:v>4.6791766963836068</c:v>
                </c:pt>
                <c:pt idx="111">
                  <c:v>4.6821769366234331</c:v>
                </c:pt>
                <c:pt idx="112">
                  <c:v>4.6851237463345869</c:v>
                </c:pt>
                <c:pt idx="113">
                  <c:v>4.6880185299948609</c:v>
                </c:pt>
                <c:pt idx="114">
                  <c:v>4.6908626441479644</c:v>
                </c:pt>
                <c:pt idx="115">
                  <c:v>4.6936573993597097</c:v>
                </c:pt>
                <c:pt idx="116">
                  <c:v>4.696404062085028</c:v>
                </c:pt>
                <c:pt idx="117">
                  <c:v>4.699103856450054</c:v>
                </c:pt>
                <c:pt idx="118">
                  <c:v>4.7017579659532975</c:v>
                </c:pt>
                <c:pt idx="119">
                  <c:v>4.7043675350897658</c:v>
                </c:pt>
                <c:pt idx="120">
                  <c:v>4.7069336709017309</c:v>
                </c:pt>
              </c:numCache>
            </c:numRef>
          </c:yVal>
          <c:smooth val="0"/>
          <c:extLst>
            <c:ext xmlns:c16="http://schemas.microsoft.com/office/drawing/2014/chart" uri="{C3380CC4-5D6E-409C-BE32-E72D297353CC}">
              <c16:uniqueId val="{00000001-FAA6-8A41-A53A-00067F147593}"/>
            </c:ext>
          </c:extLst>
        </c:ser>
        <c:ser>
          <c:idx val="2"/>
          <c:order val="1"/>
          <c:tx>
            <c:v>yield_use</c:v>
          </c:tx>
          <c:spPr>
            <a:ln w="25400" cap="rnd">
              <a:noFill/>
              <a:round/>
            </a:ln>
            <a:effectLst/>
          </c:spPr>
          <c:marker>
            <c:symbol val="circle"/>
            <c:size val="5"/>
            <c:spPr>
              <a:solidFill>
                <a:schemeClr val="accent1"/>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Room'!$J$4:$J$12</c:f>
              <c:numCache>
                <c:formatCode>General</c:formatCode>
                <c:ptCount val="9"/>
                <c:pt idx="0">
                  <c:v>3.9508999999999999</c:v>
                </c:pt>
                <c:pt idx="1">
                  <c:v>3.8212999999999999</c:v>
                </c:pt>
                <c:pt idx="2">
                  <c:v>3.6339000000000001</c:v>
                </c:pt>
                <c:pt idx="3">
                  <c:v>3.5758999999999999</c:v>
                </c:pt>
                <c:pt idx="4">
                  <c:v>3.5916999999999999</c:v>
                </c:pt>
                <c:pt idx="5">
                  <c:v>3.7149000000000001</c:v>
                </c:pt>
                <c:pt idx="6">
                  <c:v>3.9033000000000002</c:v>
                </c:pt>
                <c:pt idx="7">
                  <c:v>4.1192000000000002</c:v>
                </c:pt>
                <c:pt idx="8">
                  <c:v>4.7114000000000003</c:v>
                </c:pt>
              </c:numCache>
            </c:numRef>
          </c:yVal>
          <c:smooth val="0"/>
          <c:extLst>
            <c:ext xmlns:c16="http://schemas.microsoft.com/office/drawing/2014/chart" uri="{C3380CC4-5D6E-409C-BE32-E72D297353CC}">
              <c16:uniqueId val="{00000008-FAA6-8A41-A53A-00067F147593}"/>
            </c:ext>
          </c:extLst>
        </c:ser>
        <c:ser>
          <c:idx val="3"/>
          <c:order val="2"/>
          <c:tx>
            <c:v>yield_dont</c:v>
          </c:tx>
          <c:spPr>
            <a:ln w="25400" cap="rnd">
              <a:noFill/>
              <a:round/>
            </a:ln>
            <a:effectLst/>
          </c:spPr>
          <c:marker>
            <c:symbol val="circle"/>
            <c:size val="5"/>
            <c:spPr>
              <a:solidFill>
                <a:schemeClr val="accent3">
                  <a:alpha val="50189"/>
                </a:schemeClr>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Room'!$K$4:$K$12</c:f>
              <c:numCache>
                <c:formatCode>General</c:formatCode>
                <c:ptCount val="9"/>
                <c:pt idx="0">
                  <c:v>#N/A</c:v>
                </c:pt>
                <c:pt idx="1">
                  <c:v>#N/A</c:v>
                </c:pt>
                <c:pt idx="2">
                  <c:v>#N/A</c:v>
                </c:pt>
                <c:pt idx="3">
                  <c:v>#N/A</c:v>
                </c:pt>
                <c:pt idx="4">
                  <c:v>#N/A</c:v>
                </c:pt>
                <c:pt idx="5">
                  <c:v>#N/A</c:v>
                </c:pt>
                <c:pt idx="6">
                  <c:v>#N/A</c:v>
                </c:pt>
                <c:pt idx="7">
                  <c:v>#N/A</c:v>
                </c:pt>
                <c:pt idx="8">
                  <c:v>#N/A</c:v>
                </c:pt>
              </c:numCache>
            </c:numRef>
          </c:yVal>
          <c:smooth val="0"/>
          <c:extLst>
            <c:ext xmlns:c16="http://schemas.microsoft.com/office/drawing/2014/chart" uri="{C3380CC4-5D6E-409C-BE32-E72D297353CC}">
              <c16:uniqueId val="{00000009-FAA6-8A41-A53A-00067F147593}"/>
            </c:ext>
          </c:extLst>
        </c:ser>
        <c:dLbls>
          <c:showLegendKey val="0"/>
          <c:showVal val="0"/>
          <c:showCatName val="0"/>
          <c:showSerName val="0"/>
          <c:showPercent val="0"/>
          <c:showBubbleSize val="0"/>
        </c:dLbls>
        <c:axId val="-947004864"/>
        <c:axId val="-947002688"/>
      </c:scatterChart>
      <c:valAx>
        <c:axId val="-947004864"/>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2688"/>
        <c:crosses val="autoZero"/>
        <c:crossBetween val="midCat"/>
      </c:valAx>
      <c:valAx>
        <c:axId val="-94700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8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NS</a:t>
            </a:r>
            <a:r>
              <a:rPr lang="en-US" sz="1100" b="1" baseline="0">
                <a:solidFill>
                  <a:schemeClr val="tx1">
                    <a:lumMod val="90000"/>
                    <a:lumOff val="10000"/>
                  </a:schemeClr>
                </a:solidFill>
              </a:rPr>
              <a:t> Factor Loading</a:t>
            </a:r>
            <a:endParaRPr lang="en-US" sz="1100" b="1">
              <a:solidFill>
                <a:schemeClr val="tx1">
                  <a:lumMod val="90000"/>
                  <a:lumOff val="10000"/>
                </a:schemeClr>
              </a:solidFill>
            </a:endParaRPr>
          </a:p>
        </c:rich>
      </c:tx>
      <c:layout>
        <c:manualLayout>
          <c:xMode val="edge"/>
          <c:yMode val="edge"/>
          <c:x val="9.1709844559585488E-3"/>
          <c:y val="1.7964071856287425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manualLayout>
          <c:layoutTarget val="inner"/>
          <c:xMode val="edge"/>
          <c:yMode val="edge"/>
          <c:x val="4.5396425360324767E-2"/>
          <c:y val="0.1497005988023952"/>
          <c:w val="0.92768315941476176"/>
          <c:h val="0.71138761846385956"/>
        </c:manualLayout>
      </c:layout>
      <c:scatterChart>
        <c:scatterStyle val="lineMarker"/>
        <c:varyColors val="0"/>
        <c:ser>
          <c:idx val="1"/>
          <c:order val="0"/>
          <c:tx>
            <c:v>beta_0 | level</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NS!$D$19:$D$139</c:f>
              <c:numCache>
                <c:formatCode>General</c:formatCode>
                <c:ptCount val="1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numCache>
            </c:numRef>
          </c:yVal>
          <c:smooth val="0"/>
          <c:extLst>
            <c:ext xmlns:c16="http://schemas.microsoft.com/office/drawing/2014/chart" uri="{C3380CC4-5D6E-409C-BE32-E72D297353CC}">
              <c16:uniqueId val="{00000001-6983-8345-A1CA-CA80B823FA3A}"/>
            </c:ext>
          </c:extLst>
        </c:ser>
        <c:ser>
          <c:idx val="0"/>
          <c:order val="1"/>
          <c:tx>
            <c:v>beta_1 | slope</c:v>
          </c:tx>
          <c:spPr>
            <a:ln w="19050" cap="rnd">
              <a:solidFill>
                <a:schemeClr val="accent2"/>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NS!$E$19:$E$139</c:f>
              <c:numCache>
                <c:formatCode>0.0000</c:formatCode>
                <c:ptCount val="121"/>
                <c:pt idx="0">
                  <c:v>0.99939499162651768</c:v>
                </c:pt>
                <c:pt idx="1">
                  <c:v>0.94599451722124739</c:v>
                </c:pt>
                <c:pt idx="2">
                  <c:v>0.89584230558518352</c:v>
                </c:pt>
                <c:pt idx="3">
                  <c:v>0.84923520869161206</c:v>
                </c:pt>
                <c:pt idx="4">
                  <c:v>0.80589130839787504</c:v>
                </c:pt>
                <c:pt idx="5">
                  <c:v>0.76555260013476145</c:v>
                </c:pt>
                <c:pt idx="6">
                  <c:v>0.72798287992985444</c:v>
                </c:pt>
                <c:pt idx="7">
                  <c:v>0.69296582346543145</c:v>
                </c:pt>
                <c:pt idx="8">
                  <c:v>0.66030323935455804</c:v>
                </c:pt>
                <c:pt idx="9">
                  <c:v>0.62981348049820229</c:v>
                </c:pt>
                <c:pt idx="10">
                  <c:v>0.6013299989051365</c:v>
                </c:pt>
                <c:pt idx="11">
                  <c:v>0.5747000307305441</c:v>
                </c:pt>
                <c:pt idx="12">
                  <c:v>0.54978339953253963</c:v>
                </c:pt>
                <c:pt idx="13">
                  <c:v>0.52645142687085733</c:v>
                </c:pt>
                <c:pt idx="14">
                  <c:v>0.5045859403901013</c:v>
                </c:pt>
                <c:pt idx="15">
                  <c:v>0.48407837045147678</c:v>
                </c:pt>
                <c:pt idx="16">
                  <c:v>0.46482892721108626</c:v>
                </c:pt>
                <c:pt idx="17">
                  <c:v>0.44674585079806284</c:v>
                </c:pt>
                <c:pt idx="18">
                  <c:v>0.42974472792957957</c:v>
                </c:pt>
                <c:pt idx="19">
                  <c:v>0.41374786891896165</c:v>
                </c:pt>
                <c:pt idx="20">
                  <c:v>0.3986837395938983</c:v>
                </c:pt>
                <c:pt idx="21">
                  <c:v>0.38448644314969227</c:v>
                </c:pt>
                <c:pt idx="22">
                  <c:v>0.37109524742262329</c:v>
                </c:pt>
                <c:pt idx="23">
                  <c:v>0.35845415348540582</c:v>
                </c:pt>
                <c:pt idx="24">
                  <c:v>0.34651150184449125</c:v>
                </c:pt>
                <c:pt idx="25">
                  <c:v>0.33521961286133484</c:v>
                </c:pt>
                <c:pt idx="26">
                  <c:v>0.32453445833006789</c:v>
                </c:pt>
                <c:pt idx="27">
                  <c:v>0.31441536142533427</c:v>
                </c:pt>
                <c:pt idx="28">
                  <c:v>0.3048247224891118</c:v>
                </c:pt>
                <c:pt idx="29">
                  <c:v>0.2957277683566289</c:v>
                </c:pt>
                <c:pt idx="30">
                  <c:v>0.28709232313125033</c:v>
                </c:pt>
                <c:pt idx="31">
                  <c:v>0.27888859850848224</c:v>
                </c:pt>
                <c:pt idx="32">
                  <c:v>0.27108900192186069</c:v>
                </c:pt>
                <c:pt idx="33">
                  <c:v>0.26366796094011929</c:v>
                </c:pt>
                <c:pt idx="34">
                  <c:v>0.25660176248716876</c:v>
                </c:pt>
                <c:pt idx="35">
                  <c:v>0.24986840558543558</c:v>
                </c:pt>
                <c:pt idx="36">
                  <c:v>0.24344746644022663</c:v>
                </c:pt>
                <c:pt idx="37">
                  <c:v>0.23731997478912348</c:v>
                </c:pt>
                <c:pt idx="38">
                  <c:v>0.23146830053697878</c:v>
                </c:pt>
                <c:pt idx="39">
                  <c:v>0.22587604978479464</c:v>
                </c:pt>
                <c:pt idx="40">
                  <c:v>0.22052796944044048</c:v>
                </c:pt>
                <c:pt idx="41">
                  <c:v>0.21540985967155971</c:v>
                </c:pt>
                <c:pt idx="42">
                  <c:v>0.21050849352680456</c:v>
                </c:pt>
                <c:pt idx="43">
                  <c:v>0.20581154311133118</c:v>
                </c:pt>
                <c:pt idx="44">
                  <c:v>0.20130751175684897</c:v>
                </c:pt>
                <c:pt idx="45">
                  <c:v>0.19698567167594361</c:v>
                </c:pt>
                <c:pt idx="46">
                  <c:v>0.19283600663534509</c:v>
                </c:pt>
                <c:pt idx="47">
                  <c:v>0.1888491592236988</c:v>
                </c:pt>
                <c:pt idx="48">
                  <c:v>0.1850163823265982</c:v>
                </c:pt>
                <c:pt idx="49">
                  <c:v>0.18132949445548752</c:v>
                </c:pt>
                <c:pt idx="50">
                  <c:v>0.17778083860785321</c:v>
                </c:pt>
                <c:pt idx="51">
                  <c:v>0.17436324436417017</c:v>
                </c:pt>
                <c:pt idx="52">
                  <c:v>0.1710699929526073</c:v>
                </c:pt>
                <c:pt idx="53">
                  <c:v>0.16789478503575644</c:v>
                </c:pt>
                <c:pt idx="54">
                  <c:v>0.16483171099483562</c:v>
                </c:pt>
                <c:pt idx="55">
                  <c:v>0.16187522350612221</c:v>
                </c:pt>
                <c:pt idx="56">
                  <c:v>0.15902011222196533</c:v>
                </c:pt>
                <c:pt idx="57">
                  <c:v>0.15626148038476292</c:v>
                </c:pt>
                <c:pt idx="58">
                  <c:v>0.15359472321691059</c:v>
                </c:pt>
                <c:pt idx="59">
                  <c:v>0.15101550794306492</c:v>
                </c:pt>
                <c:pt idx="60">
                  <c:v>0.14851975531322614</c:v>
                </c:pt>
                <c:pt idx="61">
                  <c:v>0.14610362250624323</c:v>
                </c:pt>
                <c:pt idx="62">
                  <c:v>0.14376348730347413</c:v>
                </c:pt>
                <c:pt idx="63">
                  <c:v>0.14149593343157715</c:v>
                </c:pt>
                <c:pt idx="64">
                  <c:v>0.13929773698185358</c:v>
                </c:pt>
                <c:pt idx="65">
                  <c:v>0.13716585382126983</c:v>
                </c:pt>
                <c:pt idx="66">
                  <c:v>0.13509740791733232</c:v>
                </c:pt>
                <c:pt idx="67">
                  <c:v>0.13308968050542327</c:v>
                </c:pt>
                <c:pt idx="68">
                  <c:v>0.13114010003308896</c:v>
                </c:pt>
                <c:pt idx="69">
                  <c:v>0.12924623282114989</c:v>
                </c:pt>
                <c:pt idx="70">
                  <c:v>0.12740577438642139</c:v>
                </c:pt>
                <c:pt idx="71">
                  <c:v>0.12561654137533212</c:v>
                </c:pt>
                <c:pt idx="72">
                  <c:v>0.1238764640618443</c:v>
                </c:pt>
                <c:pt idx="73">
                  <c:v>0.122183579366849</c:v>
                </c:pt>
                <c:pt idx="74">
                  <c:v>0.12053602435965785</c:v>
                </c:pt>
                <c:pt idx="75">
                  <c:v>0.11893203020537324</c:v>
                </c:pt>
                <c:pt idx="76">
                  <c:v>0.11736991652481228</c:v>
                </c:pt>
                <c:pt idx="77">
                  <c:v>0.11584808613631185</c:v>
                </c:pt>
                <c:pt idx="78">
                  <c:v>0.11436502015117345</c:v>
                </c:pt>
                <c:pt idx="79">
                  <c:v>0.11291927339673415</c:v>
                </c:pt>
                <c:pt idx="80">
                  <c:v>0.11150947014309499</c:v>
                </c:pt>
                <c:pt idx="81">
                  <c:v>0.11013430011141322</c:v>
                </c:pt>
                <c:pt idx="82">
                  <c:v>0.10879251474338504</c:v>
                </c:pt>
                <c:pt idx="83">
                  <c:v>0.10748292371312682</c:v>
                </c:pt>
                <c:pt idx="84">
                  <c:v>0.10620439166411222</c:v>
                </c:pt>
                <c:pt idx="85">
                  <c:v>0.10495583515515619</c:v>
                </c:pt>
                <c:pt idx="86">
                  <c:v>0.10373621980066131</c:v>
                </c:pt>
                <c:pt idx="87">
                  <c:v>0.10254455759146731</c:v>
                </c:pt>
                <c:pt idx="88">
                  <c:v>0.10137990438368012</c:v>
                </c:pt>
                <c:pt idx="89">
                  <c:v>0.1002413575438086</c:v>
                </c:pt>
                <c:pt idx="90">
                  <c:v>9.9128053739413108E-2</c:v>
                </c:pt>
                <c:pt idx="91">
                  <c:v>9.8039166865276556E-2</c:v>
                </c:pt>
                <c:pt idx="92">
                  <c:v>9.697390609585077E-2</c:v>
                </c:pt>
                <c:pt idx="93">
                  <c:v>9.5931514055414946E-2</c:v>
                </c:pt>
                <c:pt idx="94">
                  <c:v>9.491126509801287E-2</c:v>
                </c:pt>
                <c:pt idx="95">
                  <c:v>9.3912463689816705E-2</c:v>
                </c:pt>
                <c:pt idx="96">
                  <c:v>9.2934442887099775E-2</c:v>
                </c:pt>
                <c:pt idx="97">
                  <c:v>9.1976562903495485E-2</c:v>
                </c:pt>
                <c:pt idx="98">
                  <c:v>9.1038209760674865E-2</c:v>
                </c:pt>
                <c:pt idx="99">
                  <c:v>9.0118794016995574E-2</c:v>
                </c:pt>
                <c:pt idx="100">
                  <c:v>8.921774956906392E-2</c:v>
                </c:pt>
                <c:pt idx="101">
                  <c:v>8.8334532521510356E-2</c:v>
                </c:pt>
                <c:pt idx="102">
                  <c:v>8.7468620120609644E-2</c:v>
                </c:pt>
                <c:pt idx="103">
                  <c:v>8.6619509747684273E-2</c:v>
                </c:pt>
                <c:pt idx="104">
                  <c:v>8.5786717968512213E-2</c:v>
                </c:pt>
                <c:pt idx="105">
                  <c:v>8.4969779635222911E-2</c:v>
                </c:pt>
                <c:pt idx="106">
                  <c:v>8.4168247037407454E-2</c:v>
                </c:pt>
                <c:pt idx="107">
                  <c:v>8.3381689099393766E-2</c:v>
                </c:pt>
                <c:pt idx="108">
                  <c:v>8.2609690620845444E-2</c:v>
                </c:pt>
                <c:pt idx="109">
                  <c:v>8.1851851558035774E-2</c:v>
                </c:pt>
                <c:pt idx="110">
                  <c:v>8.1107786343326799E-2</c:v>
                </c:pt>
                <c:pt idx="111">
                  <c:v>8.0377123240548853E-2</c:v>
                </c:pt>
                <c:pt idx="112">
                  <c:v>7.965950373413011E-2</c:v>
                </c:pt>
                <c:pt idx="113">
                  <c:v>7.8954581949967281E-2</c:v>
                </c:pt>
                <c:pt idx="114">
                  <c:v>7.8262024106161801E-2</c:v>
                </c:pt>
                <c:pt idx="115">
                  <c:v>7.7581507991868109E-2</c:v>
                </c:pt>
                <c:pt idx="116">
                  <c:v>7.6912722472614797E-2</c:v>
                </c:pt>
                <c:pt idx="117">
                  <c:v>7.625536702056572E-2</c:v>
                </c:pt>
                <c:pt idx="118">
                  <c:v>7.5609151268286712E-2</c:v>
                </c:pt>
                <c:pt idx="119">
                  <c:v>7.4973794584674736E-2</c:v>
                </c:pt>
                <c:pt idx="120">
                  <c:v>7.434902567179244E-2</c:v>
                </c:pt>
              </c:numCache>
            </c:numRef>
          </c:yVal>
          <c:smooth val="0"/>
          <c:extLst>
            <c:ext xmlns:c16="http://schemas.microsoft.com/office/drawing/2014/chart" uri="{C3380CC4-5D6E-409C-BE32-E72D297353CC}">
              <c16:uniqueId val="{00000003-6983-8345-A1CA-CA80B823FA3A}"/>
            </c:ext>
          </c:extLst>
        </c:ser>
        <c:ser>
          <c:idx val="2"/>
          <c:order val="2"/>
          <c:tx>
            <c:v>beta_2 | curvature</c:v>
          </c:tx>
          <c:spPr>
            <a:ln w="19050" cap="rnd">
              <a:solidFill>
                <a:schemeClr val="accent3"/>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NS!$F$19:$F$139</c:f>
              <c:numCache>
                <c:formatCode>0.0000</c:formatCode>
                <c:ptCount val="121"/>
                <c:pt idx="0">
                  <c:v>6.047643008323389E-4</c:v>
                </c:pt>
                <c:pt idx="1">
                  <c:v>5.2025177490570229E-2</c:v>
                </c:pt>
                <c:pt idx="2">
                  <c:v>9.6661125206680687E-2</c:v>
                </c:pt>
                <c:pt idx="3">
                  <c:v>0.13479173654345877</c:v>
                </c:pt>
                <c:pt idx="4">
                  <c:v>0.16720074932669804</c:v>
                </c:pt>
                <c:pt idx="5">
                  <c:v>0.1945828227496843</c:v>
                </c:pt>
                <c:pt idx="6">
                  <c:v>0.2175534050347453</c:v>
                </c:pt>
                <c:pt idx="7">
                  <c:v>0.23665752281437452</c:v>
                </c:pt>
                <c:pt idx="8">
                  <c:v>0.25237760910790535</c:v>
                </c:pt>
                <c:pt idx="9">
                  <c:v>0.2651404741673819</c:v>
                </c:pt>
                <c:pt idx="10">
                  <c:v>0.27532351221797191</c:v>
                </c:pt>
                <c:pt idx="11">
                  <c:v>0.28326022707890181</c:v>
                </c:pt>
                <c:pt idx="12">
                  <c:v>0.28924515069084278</c:v>
                </c:pt>
                <c:pt idx="13">
                  <c:v>0.29353822057925871</c:v>
                </c:pt>
                <c:pt idx="14">
                  <c:v>0.2963686751470459</c:v>
                </c:pt>
                <c:pt idx="15">
                  <c:v>0.2979385193216153</c:v>
                </c:pt>
                <c:pt idx="16">
                  <c:v>0.29842560739895746</c:v>
                </c:pt>
                <c:pt idx="17">
                  <c:v>0.29798638485662132</c:v>
                </c:pt>
                <c:pt idx="18">
                  <c:v>0.29675832638322097</c:v>
                </c:pt>
                <c:pt idx="19">
                  <c:v>0.29486210333540475</c:v>
                </c:pt>
                <c:pt idx="20">
                  <c:v>0.2924035102317899</c:v>
                </c:pt>
                <c:pt idx="21">
                  <c:v>0.28947517668042327</c:v>
                </c:pt>
                <c:pt idx="22">
                  <c:v>0.28615808827011546</c:v>
                </c:pt>
                <c:pt idx="23">
                  <c:v>0.28252293739923895</c:v>
                </c:pt>
                <c:pt idx="24">
                  <c:v>0.2786313227349933</c:v>
                </c:pt>
                <c:pt idx="25">
                  <c:v>0.27453681396201685</c:v>
                </c:pt>
                <c:pt idx="26">
                  <c:v>0.27028589666503511</c:v>
                </c:pt>
                <c:pt idx="27">
                  <c:v>0.26591881057230604</c:v>
                </c:pt>
                <c:pt idx="28">
                  <c:v>0.26147029294381491</c:v>
                </c:pt>
                <c:pt idx="29">
                  <c:v>0.25697023760161969</c:v>
                </c:pt>
                <c:pt idx="30">
                  <c:v>0.25244427895260335</c:v>
                </c:pt>
                <c:pt idx="31">
                  <c:v>0.24791430933113784</c:v>
                </c:pt>
                <c:pt idx="32">
                  <c:v>0.24339893707736307</c:v>
                </c:pt>
                <c:pt idx="33">
                  <c:v>0.23891389195398413</c:v>
                </c:pt>
                <c:pt idx="34">
                  <c:v>0.23447238377998586</c:v>
                </c:pt>
                <c:pt idx="35">
                  <c:v>0.23008541951392519</c:v>
                </c:pt>
                <c:pt idx="36">
                  <c:v>0.2257620834439773</c:v>
                </c:pt>
                <c:pt idx="37">
                  <c:v>0.22150978462908233</c:v>
                </c:pt>
                <c:pt idx="38">
                  <c:v>0.21733447527859034</c:v>
                </c:pt>
                <c:pt idx="39">
                  <c:v>0.21324084335068436</c:v>
                </c:pt>
                <c:pt idx="40">
                  <c:v>0.20923248228717811</c:v>
                </c:pt>
                <c:pt idx="41">
                  <c:v>0.20531204047922139</c:v>
                </c:pt>
                <c:pt idx="42">
                  <c:v>0.20148135277071011</c:v>
                </c:pt>
                <c:pt idx="43">
                  <c:v>0.19774155604994956</c:v>
                </c:pt>
                <c:pt idx="44">
                  <c:v>0.19409319075195053</c:v>
                </c:pt>
                <c:pt idx="45">
                  <c:v>0.19053628989058938</c:v>
                </c:pt>
                <c:pt idx="46">
                  <c:v>0.18707045705902092</c:v>
                </c:pt>
                <c:pt idx="47">
                  <c:v>0.18369493467576781</c:v>
                </c:pt>
                <c:pt idx="48">
                  <c:v>0.18040866361066069</c:v>
                </c:pt>
                <c:pt idx="49">
                  <c:v>0.17721033519733617</c:v>
                </c:pt>
                <c:pt idx="50">
                  <c:v>0.17409843652559814</c:v>
                </c:pt>
                <c:pt idx="51">
                  <c:v>0.17107128980607372</c:v>
                </c:pt>
                <c:pt idx="52">
                  <c:v>0.16812708650988245</c:v>
                </c:pt>
                <c:pt idx="53">
                  <c:v>0.16526391690626455</c:v>
                </c:pt>
                <c:pt idx="54">
                  <c:v>0.16247979555019526</c:v>
                </c:pt>
                <c:pt idx="55">
                  <c:v>0.1597726832089747</c:v>
                </c:pt>
                <c:pt idx="56">
                  <c:v>0.1571405056607672</c:v>
                </c:pt>
                <c:pt idx="57">
                  <c:v>0.15458116974829519</c:v>
                </c:pt>
                <c:pt idx="58">
                  <c:v>0.15209257702668511</c:v>
                </c:pt>
                <c:pt idx="59">
                  <c:v>0.14967263530521011</c:v>
                </c:pt>
                <c:pt idx="60">
                  <c:v>0.14731926834782066</c:v>
                </c:pt>
                <c:pt idx="61">
                  <c:v>0.1450304239664244</c:v>
                </c:pt>
                <c:pt idx="62">
                  <c:v>0.14280408071343237</c:v>
                </c:pt>
                <c:pt idx="63">
                  <c:v>0.14063825335574426</c:v>
                </c:pt>
                <c:pt idx="64">
                  <c:v>0.1385309972907611</c:v>
                </c:pt>
                <c:pt idx="65">
                  <c:v>0.13648041204587857</c:v>
                </c:pt>
                <c:pt idx="66">
                  <c:v>0.13448464398596199</c:v>
                </c:pt>
                <c:pt idx="67">
                  <c:v>0.13254188833828537</c:v>
                </c:pt>
                <c:pt idx="68">
                  <c:v>0.13065039063112305</c:v>
                </c:pt>
                <c:pt idx="69">
                  <c:v>0.12880844763041452</c:v>
                </c:pt>
                <c:pt idx="70">
                  <c:v>0.12701440784851581</c:v>
                </c:pt>
                <c:pt idx="71">
                  <c:v>0.12526667168984801</c:v>
                </c:pt>
                <c:pt idx="72">
                  <c:v>0.12356369129012028</c:v>
                </c:pt>
                <c:pt idx="73">
                  <c:v>0.12190397009862514</c:v>
                </c:pt>
                <c:pt idx="74">
                  <c:v>0.12028606224676119</c:v>
                </c:pt>
                <c:pt idx="75">
                  <c:v>0.11870857174034932</c:v>
                </c:pt>
                <c:pt idx="76">
                  <c:v>0.11717015150837762</c:v>
                </c:pt>
                <c:pt idx="77">
                  <c:v>0.11566950233646847</c:v>
                </c:pt>
                <c:pt idx="78">
                  <c:v>0.11420537170954087</c:v>
                </c:pt>
                <c:pt idx="79">
                  <c:v>0.11277655258477884</c:v>
                </c:pt>
                <c:pt idx="80">
                  <c:v>0.11138188211306548</c:v>
                </c:pt>
                <c:pt idx="81">
                  <c:v>0.11002024032445019</c:v>
                </c:pt>
                <c:pt idx="82">
                  <c:v>0.10869054879094389</c:v>
                </c:pt>
                <c:pt idx="83">
                  <c:v>0.10739176927794798</c:v>
                </c:pt>
                <c:pt idx="84">
                  <c:v>0.10612290239388188</c:v>
                </c:pt>
                <c:pt idx="85">
                  <c:v>0.10488298624605324</c:v>
                </c:pt>
                <c:pt idx="86">
                  <c:v>0.10367109510949044</c:v>
                </c:pt>
                <c:pt idx="87">
                  <c:v>0.10248633811430113</c:v>
                </c:pt>
                <c:pt idx="88">
                  <c:v>0.1013278579561184</c:v>
                </c:pt>
                <c:pt idx="89">
                  <c:v>0.1001948296333259</c:v>
                </c:pt>
                <c:pt idx="90">
                  <c:v>9.9086459213999847E-2</c:v>
                </c:pt>
                <c:pt idx="91">
                  <c:v>9.800198263485646E-2</c:v>
                </c:pt>
                <c:pt idx="92">
                  <c:v>9.6940664533933713E-2</c:v>
                </c:pt>
                <c:pt idx="93">
                  <c:v>9.5901797118256346E-2</c:v>
                </c:pt>
                <c:pt idx="94">
                  <c:v>9.4884699067322373E-2</c:v>
                </c:pt>
                <c:pt idx="95">
                  <c:v>9.3888714472901064E-2</c:v>
                </c:pt>
                <c:pt idx="96">
                  <c:v>9.2913211815334573E-2</c:v>
                </c:pt>
                <c:pt idx="97">
                  <c:v>9.1957582976287769E-2</c:v>
                </c:pt>
                <c:pt idx="98">
                  <c:v>9.1021242287680854E-2</c:v>
                </c:pt>
                <c:pt idx="99">
                  <c:v>9.0103625616366215E-2</c:v>
                </c:pt>
                <c:pt idx="100">
                  <c:v>8.9204189483968521E-2</c:v>
                </c:pt>
                <c:pt idx="101">
                  <c:v>8.8322410221190931E-2</c:v>
                </c:pt>
                <c:pt idx="102">
                  <c:v>8.7457783155797067E-2</c:v>
                </c:pt>
                <c:pt idx="103">
                  <c:v>8.6609821833406098E-2</c:v>
                </c:pt>
                <c:pt idx="104">
                  <c:v>8.5778057270181576E-2</c:v>
                </c:pt>
                <c:pt idx="105">
                  <c:v>8.4962037236454666E-2</c:v>
                </c:pt>
                <c:pt idx="106">
                  <c:v>8.4161325570292683E-2</c:v>
                </c:pt>
                <c:pt idx="107">
                  <c:v>8.3375501520007209E-2</c:v>
                </c:pt>
                <c:pt idx="108">
                  <c:v>8.2604159114586712E-2</c:v>
                </c:pt>
                <c:pt idx="109">
                  <c:v>8.1846906561037935E-2</c:v>
                </c:pt>
                <c:pt idx="110">
                  <c:v>8.1103365667625674E-2</c:v>
                </c:pt>
                <c:pt idx="111">
                  <c:v>8.0373171292011145E-2</c:v>
                </c:pt>
                <c:pt idx="112">
                  <c:v>7.9655970813305207E-2</c:v>
                </c:pt>
                <c:pt idx="113">
                  <c:v>7.8951423627070125E-2</c:v>
                </c:pt>
                <c:pt idx="114">
                  <c:v>7.8259200662326778E-2</c:v>
                </c:pt>
                <c:pt idx="115">
                  <c:v>7.757898391964714E-2</c:v>
                </c:pt>
                <c:pt idx="116">
                  <c:v>7.691046602943799E-2</c:v>
                </c:pt>
                <c:pt idx="117">
                  <c:v>7.6253349829548803E-2</c:v>
                </c:pt>
                <c:pt idx="118">
                  <c:v>7.5607347961365215E-2</c:v>
                </c:pt>
                <c:pt idx="119">
                  <c:v>7.4972182483576788E-2</c:v>
                </c:pt>
                <c:pt idx="120">
                  <c:v>7.4347584502838335E-2</c:v>
                </c:pt>
              </c:numCache>
            </c:numRef>
          </c:yVal>
          <c:smooth val="0"/>
          <c:extLst>
            <c:ext xmlns:c16="http://schemas.microsoft.com/office/drawing/2014/chart" uri="{C3380CC4-5D6E-409C-BE32-E72D297353CC}">
              <c16:uniqueId val="{00000004-6983-8345-A1CA-CA80B823FA3A}"/>
            </c:ext>
          </c:extLst>
        </c:ser>
        <c:dLbls>
          <c:showLegendKey val="0"/>
          <c:showVal val="0"/>
          <c:showCatName val="0"/>
          <c:showSerName val="0"/>
          <c:showPercent val="0"/>
          <c:showBubbleSize val="0"/>
        </c:dLbls>
        <c:axId val="-947015200"/>
        <c:axId val="-947013568"/>
      </c:scatterChart>
      <c:valAx>
        <c:axId val="-947015200"/>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3568"/>
        <c:crosses val="autoZero"/>
        <c:crossBetween val="midCat"/>
      </c:valAx>
      <c:valAx>
        <c:axId val="-947013568"/>
        <c:scaling>
          <c:orientation val="minMax"/>
          <c:max val="1.0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5200"/>
        <c:crosses val="autoZero"/>
        <c:crossBetween val="midCat"/>
        <c:majorUnit val="0.2"/>
      </c:valAx>
      <c:spPr>
        <a:noFill/>
        <a:ln>
          <a:noFill/>
        </a:ln>
        <a:effectLst/>
      </c:spPr>
    </c:plotArea>
    <c:legend>
      <c:legendPos val="r"/>
      <c:layout>
        <c:manualLayout>
          <c:xMode val="edge"/>
          <c:yMode val="edge"/>
          <c:x val="0.78145091319543603"/>
          <c:y val="0.32447498703380639"/>
          <c:w val="0.16943684985576632"/>
          <c:h val="0.303145834315620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'Boiler Room'!$N$3</c:f>
              <c:strCache>
                <c:ptCount val="1"/>
                <c:pt idx="0">
                  <c:v>current</c:v>
                </c:pt>
              </c:strCache>
            </c:strRef>
          </c:tx>
          <c:spPr>
            <a:ln w="19050" cap="rnd">
              <a:solidFill>
                <a:schemeClr val="accent1"/>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Room'!$N$4:$N$44</c:f>
              <c:numCache>
                <c:formatCode>0.00</c:formatCode>
                <c:ptCount val="41"/>
                <c:pt idx="0">
                  <c:v>4.0223564276355948</c:v>
                </c:pt>
                <c:pt idx="1">
                  <c:v>3.914750586768164</c:v>
                </c:pt>
                <c:pt idx="2">
                  <c:v>3.8250970131489894</c:v>
                </c:pt>
                <c:pt idx="3">
                  <c:v>3.7522314685494669</c:v>
                </c:pt>
                <c:pt idx="4">
                  <c:v>3.6939878494590559</c:v>
                </c:pt>
                <c:pt idx="5">
                  <c:v>3.6484542861249176</c:v>
                </c:pt>
                <c:pt idx="6">
                  <c:v>3.6139444498770694</c:v>
                </c:pt>
                <c:pt idx="7">
                  <c:v>3.5889720342425084</c:v>
                </c:pt>
                <c:pt idx="8">
                  <c:v>3.572228062873235</c:v>
                </c:pt>
                <c:pt idx="9">
                  <c:v>3.5625607149653957</c:v>
                </c:pt>
                <c:pt idx="10">
                  <c:v>3.5589573924336144</c:v>
                </c:pt>
                <c:pt idx="11">
                  <c:v>3.5605287830633925</c:v>
                </c:pt>
                <c:pt idx="12">
                  <c:v>3.5664947005857495</c:v>
                </c:pt>
                <c:pt idx="13">
                  <c:v>3.5761715064504571</c:v>
                </c:pt>
                <c:pt idx="14">
                  <c:v>3.5889609393286346</c:v>
                </c:pt>
                <c:pt idx="15">
                  <c:v>3.6043401973296429</c:v>
                </c:pt>
                <c:pt idx="16">
                  <c:v>3.6218531348191809</c:v>
                </c:pt>
                <c:pt idx="17">
                  <c:v>3.6411024507963714</c:v>
                </c:pt>
                <c:pt idx="18">
                  <c:v>3.6617427592250529</c:v>
                </c:pt>
                <c:pt idx="19">
                  <c:v>3.6834744436945357</c:v>
                </c:pt>
                <c:pt idx="20">
                  <c:v>3.7060382094651985</c:v>
                </c:pt>
                <c:pt idx="21">
                  <c:v>3.7292102554747322</c:v>
                </c:pt>
                <c:pt idx="22">
                  <c:v>3.7527979973669492</c:v>
                </c:pt>
                <c:pt idx="23">
                  <c:v>3.7766362801685922</c:v>
                </c:pt>
                <c:pt idx="24">
                  <c:v>3.8005840259802666</c:v>
                </c:pt>
                <c:pt idx="25">
                  <c:v>3.8245212680544829</c:v>
                </c:pt>
                <c:pt idx="26">
                  <c:v>3.8483465279863163</c:v>
                </c:pt>
                <c:pt idx="27">
                  <c:v>3.8719744975110579</c:v>
                </c:pt>
                <c:pt idx="28">
                  <c:v>3.8953339906518893</c:v>
                </c:pt>
                <c:pt idx="29">
                  <c:v>3.9183661357452459</c:v>
                </c:pt>
                <c:pt idx="30">
                  <c:v>3.9410227802426423</c:v>
                </c:pt>
                <c:pt idx="31">
                  <c:v>3.9632650841900103</c:v>
                </c:pt>
                <c:pt idx="32">
                  <c:v>3.9850622809593048</c:v>
                </c:pt>
                <c:pt idx="33">
                  <c:v>4.0063905861877132</c:v>
                </c:pt>
                <c:pt idx="34">
                  <c:v>4.0272322379994039</c:v>
                </c:pt>
                <c:pt idx="35">
                  <c:v>4.0475746534714823</c:v>
                </c:pt>
                <c:pt idx="36">
                  <c:v>4.0674096879852755</c:v>
                </c:pt>
                <c:pt idx="37">
                  <c:v>4.0867329855986601</c:v>
                </c:pt>
                <c:pt idx="38">
                  <c:v>4.1055434099051009</c:v>
                </c:pt>
                <c:pt idx="39">
                  <c:v>4.1238425460283628</c:v>
                </c:pt>
                <c:pt idx="40">
                  <c:v>4.1416342654544183</c:v>
                </c:pt>
              </c:numCache>
            </c:numRef>
          </c:yVal>
          <c:smooth val="0"/>
          <c:extLst>
            <c:ext xmlns:c16="http://schemas.microsoft.com/office/drawing/2014/chart" uri="{C3380CC4-5D6E-409C-BE32-E72D297353CC}">
              <c16:uniqueId val="{00000000-D1FC-FF41-8A74-A52FE7DF8338}"/>
            </c:ext>
          </c:extLst>
        </c:ser>
        <c:ser>
          <c:idx val="1"/>
          <c:order val="1"/>
          <c:tx>
            <c:strRef>
              <c:f>'Boiler Room'!$O$3</c:f>
              <c:strCache>
                <c:ptCount val="1"/>
                <c:pt idx="0">
                  <c:v>scenario</c:v>
                </c:pt>
              </c:strCache>
            </c:strRef>
          </c:tx>
          <c:spPr>
            <a:ln w="19050" cap="rnd">
              <a:solidFill>
                <a:schemeClr val="accent2"/>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Room'!$O$4:$O$44</c:f>
              <c:numCache>
                <c:formatCode>0.00</c:formatCode>
                <c:ptCount val="41"/>
                <c:pt idx="0">
                  <c:v>3.376013763115477</c:v>
                </c:pt>
                <c:pt idx="1">
                  <c:v>3.3709267396202143</c:v>
                </c:pt>
                <c:pt idx="2">
                  <c:v>3.3706645487374551</c:v>
                </c:pt>
                <c:pt idx="3">
                  <c:v>3.3745578129764091</c:v>
                </c:pt>
                <c:pt idx="4">
                  <c:v>3.3819470977022865</c:v>
                </c:pt>
                <c:pt idx="5">
                  <c:v>3.392256810119052</c:v>
                </c:pt>
                <c:pt idx="6">
                  <c:v>3.4049853253898896</c:v>
                </c:pt>
                <c:pt idx="7">
                  <c:v>3.4196962342216315</c:v>
                </c:pt>
                <c:pt idx="8">
                  <c:v>3.4360105870767588</c:v>
                </c:pt>
                <c:pt idx="9">
                  <c:v>3.4536000239018163</c:v>
                </c:pt>
                <c:pt idx="10">
                  <c:v>3.4721806904895924</c:v>
                </c:pt>
                <c:pt idx="11">
                  <c:v>3.4915078534864654</c:v>
                </c:pt>
                <c:pt idx="12">
                  <c:v>3.5113711357606778</c:v>
                </c:pt>
                <c:pt idx="13">
                  <c:v>3.5315903024910948</c:v>
                </c:pt>
                <c:pt idx="14">
                  <c:v>3.5520115360344429</c:v>
                </c:pt>
                <c:pt idx="15">
                  <c:v>3.5725041444847827</c:v>
                </c:pt>
                <c:pt idx="16">
                  <c:v>3.5929576549437341</c:v>
                </c:pt>
                <c:pt idx="17">
                  <c:v>3.6132792479553455</c:v>
                </c:pt>
                <c:pt idx="18">
                  <c:v>3.6333914943984631</c:v>
                </c:pt>
                <c:pt idx="19">
                  <c:v>3.6532303604368437</c:v>
                </c:pt>
                <c:pt idx="20">
                  <c:v>3.6727434499611196</c:v>
                </c:pt>
                <c:pt idx="21">
                  <c:v>3.6918884573686208</c:v>
                </c:pt>
                <c:pt idx="22">
                  <c:v>3.7106318065630988</c:v>
                </c:pt>
                <c:pt idx="23">
                  <c:v>3.7289474547575892</c:v>
                </c:pt>
                <c:pt idx="24">
                  <c:v>3.7468158420666211</c:v>
                </c:pt>
                <c:pt idx="25">
                  <c:v>3.7642229700113319</c:v>
                </c:pt>
                <c:pt idx="26">
                  <c:v>3.7811595939618581</c:v>
                </c:pt>
                <c:pt idx="27">
                  <c:v>3.7976205162315662</c:v>
                </c:pt>
                <c:pt idx="28">
                  <c:v>3.8136039680403564</c:v>
                </c:pt>
                <c:pt idx="29">
                  <c:v>3.8291110698999526</c:v>
                </c:pt>
                <c:pt idx="30">
                  <c:v>3.8441453611612499</c:v>
                </c:pt>
                <c:pt idx="31">
                  <c:v>3.8587123905185532</c:v>
                </c:pt>
                <c:pt idx="32">
                  <c:v>3.8728193602027092</c:v>
                </c:pt>
                <c:pt idx="33">
                  <c:v>3.8864748174274886</c:v>
                </c:pt>
                <c:pt idx="34">
                  <c:v>3.8996883873927377</c:v>
                </c:pt>
                <c:pt idx="35">
                  <c:v>3.9124705428041109</c:v>
                </c:pt>
                <c:pt idx="36">
                  <c:v>3.9248324054517258</c:v>
                </c:pt>
                <c:pt idx="37">
                  <c:v>3.9367855759070167</c:v>
                </c:pt>
                <c:pt idx="38">
                  <c:v>3.948341987855724</c:v>
                </c:pt>
                <c:pt idx="39">
                  <c:v>3.9595137839917323</c:v>
                </c:pt>
                <c:pt idx="40">
                  <c:v>3.9703132107571824</c:v>
                </c:pt>
              </c:numCache>
            </c:numRef>
          </c:yVal>
          <c:smooth val="0"/>
          <c:extLst>
            <c:ext xmlns:c16="http://schemas.microsoft.com/office/drawing/2014/chart" uri="{C3380CC4-5D6E-409C-BE32-E72D297353CC}">
              <c16:uniqueId val="{00000001-D1FC-FF41-8A74-A52FE7DF8338}"/>
            </c:ext>
          </c:extLst>
        </c:ser>
        <c:ser>
          <c:idx val="2"/>
          <c:order val="2"/>
          <c:tx>
            <c:v>current</c:v>
          </c:tx>
          <c:spPr>
            <a:ln w="25400" cap="rnd">
              <a:noFill/>
              <a:round/>
            </a:ln>
            <a:effectLst/>
          </c:spPr>
          <c:marker>
            <c:symbol val="circle"/>
            <c:size val="5"/>
            <c:spPr>
              <a:solidFill>
                <a:schemeClr val="accent3"/>
              </a:solidFill>
              <a:ln w="9525">
                <a:solidFill>
                  <a:schemeClr val="accent3"/>
                </a:solidFill>
              </a:ln>
              <a:effectLst/>
            </c:spPr>
          </c:marker>
          <c:xVal>
            <c:numRef>
              <c:f>Scenarios!$M$4:$M$8</c:f>
              <c:numCache>
                <c:formatCode>General</c:formatCode>
                <c:ptCount val="5"/>
                <c:pt idx="0">
                  <c:v>0.25</c:v>
                </c:pt>
                <c:pt idx="1">
                  <c:v>2</c:v>
                </c:pt>
                <c:pt idx="2">
                  <c:v>5</c:v>
                </c:pt>
                <c:pt idx="3">
                  <c:v>10</c:v>
                </c:pt>
              </c:numCache>
            </c:numRef>
          </c:xVal>
          <c:yVal>
            <c:numRef>
              <c:f>Scenarios!$N$4:$N$8</c:f>
              <c:numCache>
                <c:formatCode>0.00</c:formatCode>
                <c:ptCount val="5"/>
                <c:pt idx="0">
                  <c:v>3.914750586768164</c:v>
                </c:pt>
                <c:pt idx="1">
                  <c:v>3.572228062873235</c:v>
                </c:pt>
                <c:pt idx="2">
                  <c:v>3.7060382094651985</c:v>
                </c:pt>
                <c:pt idx="3">
                  <c:v>4.1416342654544183</c:v>
                </c:pt>
              </c:numCache>
            </c:numRef>
          </c:yVal>
          <c:smooth val="0"/>
          <c:extLst>
            <c:ext xmlns:c16="http://schemas.microsoft.com/office/drawing/2014/chart" uri="{C3380CC4-5D6E-409C-BE32-E72D297353CC}">
              <c16:uniqueId val="{00000002-D1FC-FF41-8A74-A52FE7DF8338}"/>
            </c:ext>
          </c:extLst>
        </c:ser>
        <c:ser>
          <c:idx val="3"/>
          <c:order val="3"/>
          <c:tx>
            <c:v>scenario</c:v>
          </c:tx>
          <c:spPr>
            <a:ln w="25400" cap="rnd">
              <a:noFill/>
              <a:round/>
            </a:ln>
            <a:effectLst/>
          </c:spPr>
          <c:marker>
            <c:symbol val="circle"/>
            <c:size val="5"/>
            <c:spPr>
              <a:solidFill>
                <a:schemeClr val="accent2"/>
              </a:solidFill>
              <a:ln w="9525">
                <a:solidFill>
                  <a:schemeClr val="accent2"/>
                </a:solidFill>
              </a:ln>
              <a:effectLst/>
            </c:spPr>
          </c:marker>
          <c:xVal>
            <c:numRef>
              <c:f>Scenarios!$M$4:$M$8</c:f>
              <c:numCache>
                <c:formatCode>General</c:formatCode>
                <c:ptCount val="5"/>
                <c:pt idx="0">
                  <c:v>0.25</c:v>
                </c:pt>
                <c:pt idx="1">
                  <c:v>2</c:v>
                </c:pt>
                <c:pt idx="2">
                  <c:v>5</c:v>
                </c:pt>
                <c:pt idx="3">
                  <c:v>10</c:v>
                </c:pt>
              </c:numCache>
            </c:numRef>
          </c:xVal>
          <c:yVal>
            <c:numRef>
              <c:f>Scenarios!$O$4:$O$8</c:f>
              <c:numCache>
                <c:formatCode>0.00</c:formatCode>
                <c:ptCount val="5"/>
                <c:pt idx="0">
                  <c:v>3.35</c:v>
                </c:pt>
                <c:pt idx="1">
                  <c:v>3.5</c:v>
                </c:pt>
                <c:pt idx="2">
                  <c:v>3.6</c:v>
                </c:pt>
                <c:pt idx="3">
                  <c:v>4</c:v>
                </c:pt>
              </c:numCache>
            </c:numRef>
          </c:yVal>
          <c:smooth val="0"/>
          <c:extLst>
            <c:ext xmlns:c16="http://schemas.microsoft.com/office/drawing/2014/chart" uri="{C3380CC4-5D6E-409C-BE32-E72D297353CC}">
              <c16:uniqueId val="{00000003-D1FC-FF41-8A74-A52FE7DF8338}"/>
            </c:ext>
          </c:extLst>
        </c:ser>
        <c:dLbls>
          <c:showLegendKey val="0"/>
          <c:showVal val="0"/>
          <c:showCatName val="0"/>
          <c:showSerName val="0"/>
          <c:showPercent val="0"/>
          <c:showBubbleSize val="0"/>
        </c:dLbls>
        <c:axId val="-947011392"/>
        <c:axId val="-947009760"/>
      </c:scatterChart>
      <c:valAx>
        <c:axId val="-947011392"/>
        <c:scaling>
          <c:orientation val="minMax"/>
          <c:max val="1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9760"/>
        <c:crosses val="autoZero"/>
        <c:crossBetween val="midCat"/>
      </c:valAx>
      <c:valAx>
        <c:axId val="-947009760"/>
        <c:scaling>
          <c:orientation val="minMax"/>
          <c:min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Horizon return by maturity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unchanged</c:v>
          </c:tx>
          <c:spPr>
            <a:solidFill>
              <a:schemeClr val="accent1"/>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Scenarios!$Q$13:$Q$23</c:f>
              <c:numCache>
                <c:formatCode>0.00%;[Red]\-0.00%</c:formatCode>
                <c:ptCount val="11"/>
                <c:pt idx="0">
                  <c:v>3.1328521095208171E-3</c:v>
                </c:pt>
                <c:pt idx="1">
                  <c:v>1.4861728098543349E-3</c:v>
                </c:pt>
                <c:pt idx="2">
                  <c:v>1.253999516786702E-3</c:v>
                </c:pt>
                <c:pt idx="3">
                  <c:v>2.8393343494666715E-3</c:v>
                </c:pt>
                <c:pt idx="4">
                  <c:v>4.7785843171637941E-3</c:v>
                </c:pt>
                <c:pt idx="5">
                  <c:v>6.4614039323416901E-3</c:v>
                </c:pt>
                <c:pt idx="6">
                  <c:v>7.7002921572354131E-3</c:v>
                </c:pt>
                <c:pt idx="7">
                  <c:v>8.4991307072454555E-3</c:v>
                </c:pt>
                <c:pt idx="8">
                  <c:v>8.9343421683451621E-3</c:v>
                </c:pt>
                <c:pt idx="9">
                  <c:v>9.0979021439867424E-3</c:v>
                </c:pt>
                <c:pt idx="10">
                  <c:v>9.0730522041575223E-3</c:v>
                </c:pt>
              </c:numCache>
            </c:numRef>
          </c:val>
          <c:extLst>
            <c:ext xmlns:c16="http://schemas.microsoft.com/office/drawing/2014/chart" uri="{C3380CC4-5D6E-409C-BE32-E72D297353CC}">
              <c16:uniqueId val="{00000001-BD0C-6D48-BDFB-912B5D9AE71C}"/>
            </c:ext>
          </c:extLst>
        </c:ser>
        <c:ser>
          <c:idx val="0"/>
          <c:order val="1"/>
          <c:tx>
            <c:v>scenario</c:v>
          </c:tx>
          <c:spPr>
            <a:solidFill>
              <a:schemeClr val="accent2"/>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Scenarios!$Q$27:$Q$37</c:f>
              <c:numCache>
                <c:formatCode>0.00%;[Red]\-0.00%</c:formatCode>
                <c:ptCount val="11"/>
                <c:pt idx="0">
                  <c:v>3.9103435879568188E-3</c:v>
                </c:pt>
                <c:pt idx="1">
                  <c:v>4.620074160260234E-3</c:v>
                </c:pt>
                <c:pt idx="2">
                  <c:v>5.6692639619845067E-3</c:v>
                </c:pt>
                <c:pt idx="3">
                  <c:v>5.9931782946921232E-3</c:v>
                </c:pt>
                <c:pt idx="4">
                  <c:v>6.5314889468357481E-3</c:v>
                </c:pt>
                <c:pt idx="5">
                  <c:v>7.6191575359890167E-3</c:v>
                </c:pt>
                <c:pt idx="6">
                  <c:v>9.2966585728295817E-3</c:v>
                </c:pt>
                <c:pt idx="7">
                  <c:v>1.1480084792805885E-2</c:v>
                </c:pt>
                <c:pt idx="8">
                  <c:v>1.4047422564619345E-2</c:v>
                </c:pt>
                <c:pt idx="9">
                  <c:v>1.6878679298500891E-2</c:v>
                </c:pt>
                <c:pt idx="10">
                  <c:v>1.9871703484771665E-2</c:v>
                </c:pt>
              </c:numCache>
            </c:numRef>
          </c:val>
          <c:extLst>
            <c:ext xmlns:c16="http://schemas.microsoft.com/office/drawing/2014/chart" uri="{C3380CC4-5D6E-409C-BE32-E72D297353CC}">
              <c16:uniqueId val="{00000002-BD0C-6D48-BDFB-912B5D9AE71C}"/>
            </c:ext>
          </c:extLst>
        </c:ser>
        <c:dLbls>
          <c:showLegendKey val="0"/>
          <c:showVal val="0"/>
          <c:showCatName val="0"/>
          <c:showSerName val="0"/>
          <c:showPercent val="0"/>
          <c:showBubbleSize val="0"/>
        </c:dLbls>
        <c:gapWidth val="219"/>
        <c:overlap val="-27"/>
        <c:axId val="-947003776"/>
        <c:axId val="-947004320"/>
      </c:barChart>
      <c:catAx>
        <c:axId val="-9470037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320"/>
        <c:crosses val="autoZero"/>
        <c:auto val="1"/>
        <c:lblAlgn val="ctr"/>
        <c:lblOffset val="100"/>
        <c:noMultiLvlLbl val="0"/>
      </c:catAx>
      <c:valAx>
        <c:axId val="-947004320"/>
        <c:scaling>
          <c:orientation val="minMax"/>
        </c:scaling>
        <c:delete val="0"/>
        <c:axPos val="l"/>
        <c:majorGridlines>
          <c:spPr>
            <a:ln w="9525" cap="flat" cmpd="sng" algn="ctr">
              <a:solidFill>
                <a:schemeClr val="tx1">
                  <a:lumMod val="15000"/>
                  <a:lumOff val="85000"/>
                </a:schemeClr>
              </a:solidFill>
              <a:round/>
            </a:ln>
            <a:effectLst/>
          </c:spPr>
        </c:majorGridlines>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2"/>
          <c:tx>
            <c:v>return_a</c:v>
          </c:tx>
          <c:spPr>
            <a:ln w="28575" cap="rnd">
              <a:solidFill>
                <a:schemeClr val="accent4"/>
              </a:solidFill>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Scenarios!$Q$41:$Q$53</c:f>
              <c:numCache>
                <c:formatCode>0.00%;[Red]\-0.00%</c:formatCode>
                <c:ptCount val="13"/>
                <c:pt idx="0">
                  <c:v>0</c:v>
                </c:pt>
                <c:pt idx="1">
                  <c:v>3.0653925238892654E-3</c:v>
                </c:pt>
                <c:pt idx="2">
                  <c:v>6.1467674314679144E-3</c:v>
                </c:pt>
                <c:pt idx="3">
                  <c:v>9.2442185925876164E-3</c:v>
                </c:pt>
                <c:pt idx="4">
                  <c:v>1.2357840524552799E-2</c:v>
                </c:pt>
                <c:pt idx="5">
                  <c:v>1.548772839704271E-2</c:v>
                </c:pt>
                <c:pt idx="6">
                  <c:v>1.8633978037073895E-2</c:v>
                </c:pt>
                <c:pt idx="7">
                  <c:v>2.1796685934005744E-2</c:v>
                </c:pt>
                <c:pt idx="8">
                  <c:v>2.4975949244586904E-2</c:v>
                </c:pt>
                <c:pt idx="9">
                  <c:v>2.8171865798043871E-2</c:v>
                </c:pt>
                <c:pt idx="10">
                  <c:v>3.1384534101211781E-2</c:v>
                </c:pt>
                <c:pt idx="11">
                  <c:v>3.4614053343708484E-2</c:v>
                </c:pt>
                <c:pt idx="12">
                  <c:v>3.7860523403154378E-2</c:v>
                </c:pt>
              </c:numCache>
            </c:numRef>
          </c:yVal>
          <c:smooth val="0"/>
          <c:extLst>
            <c:ext xmlns:c16="http://schemas.microsoft.com/office/drawing/2014/chart" uri="{C3380CC4-5D6E-409C-BE32-E72D297353CC}">
              <c16:uniqueId val="{00000003-DBEF-9B4F-B1DC-E6268E9CFDBF}"/>
            </c:ext>
          </c:extLst>
        </c:ser>
        <c:ser>
          <c:idx val="3"/>
          <c:order val="3"/>
          <c:tx>
            <c:v>return_b</c:v>
          </c:tx>
          <c:spPr>
            <a:ln w="28575" cap="rnd">
              <a:solidFill>
                <a:schemeClr val="accent5"/>
              </a:solidFill>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Scenarios!$Q$57:$Q$69</c:f>
              <c:numCache>
                <c:formatCode>0.00%;[Red]\-0.00%</c:formatCode>
                <c:ptCount val="13"/>
                <c:pt idx="0">
                  <c:v>0</c:v>
                </c:pt>
                <c:pt idx="1">
                  <c:v>4.9859661269278099E-3</c:v>
                </c:pt>
                <c:pt idx="2">
                  <c:v>9.9708453768354577E-3</c:v>
                </c:pt>
                <c:pt idx="3">
                  <c:v>1.4954352967764262E-2</c:v>
                </c:pt>
                <c:pt idx="4">
                  <c:v>1.9936202446004581E-2</c:v>
                </c:pt>
                <c:pt idx="5">
                  <c:v>2.4916105706848324E-2</c:v>
                </c:pt>
                <c:pt idx="6">
                  <c:v>2.9893773015734704E-2</c:v>
                </c:pt>
                <c:pt idx="7">
                  <c:v>3.4868913029760584E-2</c:v>
                </c:pt>
                <c:pt idx="8">
                  <c:v>3.9841232819573857E-2</c:v>
                </c:pt>
                <c:pt idx="9">
                  <c:v>4.4810437891648958E-2</c:v>
                </c:pt>
                <c:pt idx="10">
                  <c:v>4.9776232210922089E-2</c:v>
                </c:pt>
                <c:pt idx="11">
                  <c:v>5.4738318223819471E-2</c:v>
                </c:pt>
                <c:pt idx="12">
                  <c:v>5.9696396881643521E-2</c:v>
                </c:pt>
              </c:numCache>
            </c:numRef>
          </c:yVal>
          <c:smooth val="0"/>
          <c:extLst>
            <c:ext xmlns:c16="http://schemas.microsoft.com/office/drawing/2014/chart" uri="{C3380CC4-5D6E-409C-BE32-E72D297353CC}">
              <c16:uniqueId val="{00000004-DBEF-9B4F-B1DC-E6268E9CFDBF}"/>
            </c:ext>
          </c:extLst>
        </c:ser>
        <c:dLbls>
          <c:showLegendKey val="0"/>
          <c:showVal val="0"/>
          <c:showCatName val="0"/>
          <c:showSerName val="0"/>
          <c:showPercent val="0"/>
          <c:showBubbleSize val="0"/>
        </c:dLbls>
        <c:axId val="1257137456"/>
        <c:axId val="1258187648"/>
      </c:scatterChart>
      <c:scatterChart>
        <c:scatterStyle val="lineMarker"/>
        <c:varyColors val="0"/>
        <c:ser>
          <c:idx val="1"/>
          <c:order val="0"/>
          <c:tx>
            <c:v>yield_a</c:v>
          </c:tx>
          <c:spPr>
            <a:ln w="28575" cap="rnd">
              <a:solidFill>
                <a:schemeClr val="accent4"/>
              </a:solidFill>
              <a:prstDash val="sysDash"/>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Scenarios!$L$41:$L$53</c:f>
              <c:numCache>
                <c:formatCode>0.00</c:formatCode>
                <c:ptCount val="13"/>
                <c:pt idx="0">
                  <c:v>3.572228062873235</c:v>
                </c:pt>
                <c:pt idx="1">
                  <c:v>3.560876606556862</c:v>
                </c:pt>
                <c:pt idx="2">
                  <c:v>3.549525150240489</c:v>
                </c:pt>
                <c:pt idx="3">
                  <c:v>3.538173693924116</c:v>
                </c:pt>
                <c:pt idx="4">
                  <c:v>3.5268222376077429</c:v>
                </c:pt>
                <c:pt idx="5">
                  <c:v>3.5154707812913699</c:v>
                </c:pt>
                <c:pt idx="6">
                  <c:v>3.5041193249749969</c:v>
                </c:pt>
                <c:pt idx="7">
                  <c:v>3.4927678686586239</c:v>
                </c:pt>
                <c:pt idx="8">
                  <c:v>3.4814164123422509</c:v>
                </c:pt>
                <c:pt idx="9">
                  <c:v>3.4700649560258778</c:v>
                </c:pt>
                <c:pt idx="10">
                  <c:v>3.4587134997095048</c:v>
                </c:pt>
                <c:pt idx="11">
                  <c:v>3.4473620433931318</c:v>
                </c:pt>
                <c:pt idx="12">
                  <c:v>3.4360105870767588</c:v>
                </c:pt>
              </c:numCache>
            </c:numRef>
          </c:yVal>
          <c:smooth val="0"/>
          <c:extLst>
            <c:ext xmlns:c16="http://schemas.microsoft.com/office/drawing/2014/chart" uri="{C3380CC4-5D6E-409C-BE32-E72D297353CC}">
              <c16:uniqueId val="{00000001-DBEF-9B4F-B1DC-E6268E9CFDBF}"/>
            </c:ext>
          </c:extLst>
        </c:ser>
        <c:ser>
          <c:idx val="0"/>
          <c:order val="1"/>
          <c:tx>
            <c:v>yield_b</c:v>
          </c:tx>
          <c:spPr>
            <a:ln w="28575" cap="rnd">
              <a:solidFill>
                <a:schemeClr val="accent5"/>
              </a:solidFill>
              <a:prstDash val="sysDash"/>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Scenarios!$L$57:$L$69</c:f>
              <c:numCache>
                <c:formatCode>0.00</c:formatCode>
                <c:ptCount val="13"/>
                <c:pt idx="0">
                  <c:v>4.1416342654544183</c:v>
                </c:pt>
                <c:pt idx="1">
                  <c:v>4.1273575108963154</c:v>
                </c:pt>
                <c:pt idx="2">
                  <c:v>4.1130807563382126</c:v>
                </c:pt>
                <c:pt idx="3">
                  <c:v>4.0988040017801097</c:v>
                </c:pt>
                <c:pt idx="4">
                  <c:v>4.084527247222006</c:v>
                </c:pt>
                <c:pt idx="5">
                  <c:v>4.0702504926639032</c:v>
                </c:pt>
                <c:pt idx="6">
                  <c:v>4.0559737381058003</c:v>
                </c:pt>
                <c:pt idx="7">
                  <c:v>4.0416969835476975</c:v>
                </c:pt>
                <c:pt idx="8">
                  <c:v>4.0274202289895946</c:v>
                </c:pt>
                <c:pt idx="9">
                  <c:v>4.0131434744314909</c:v>
                </c:pt>
                <c:pt idx="10">
                  <c:v>3.9988667198733885</c:v>
                </c:pt>
                <c:pt idx="11">
                  <c:v>3.9845899653152852</c:v>
                </c:pt>
                <c:pt idx="12">
                  <c:v>3.9703132107571824</c:v>
                </c:pt>
              </c:numCache>
            </c:numRef>
          </c:yVal>
          <c:smooth val="0"/>
          <c:extLst>
            <c:ext xmlns:c16="http://schemas.microsoft.com/office/drawing/2014/chart" uri="{C3380CC4-5D6E-409C-BE32-E72D297353CC}">
              <c16:uniqueId val="{00000002-DBEF-9B4F-B1DC-E6268E9CFDBF}"/>
            </c:ext>
          </c:extLst>
        </c:ser>
        <c:dLbls>
          <c:showLegendKey val="0"/>
          <c:showVal val="0"/>
          <c:showCatName val="0"/>
          <c:showSerName val="0"/>
          <c:showPercent val="0"/>
          <c:showBubbleSize val="0"/>
        </c:dLbls>
        <c:axId val="1017048400"/>
        <c:axId val="1017040992"/>
      </c:scatterChart>
      <c:valAx>
        <c:axId val="1257137456"/>
        <c:scaling>
          <c:orientation val="minMax"/>
          <c:max val="12"/>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187648"/>
        <c:crosses val="autoZero"/>
        <c:crossBetween val="midCat"/>
      </c:valAx>
      <c:valAx>
        <c:axId val="1258187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137456"/>
        <c:crosses val="autoZero"/>
        <c:crossBetween val="midCat"/>
      </c:valAx>
      <c:valAx>
        <c:axId val="101704099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yield (pct)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048400"/>
        <c:crosses val="max"/>
        <c:crossBetween val="midCat"/>
      </c:valAx>
      <c:valAx>
        <c:axId val="1017048400"/>
        <c:scaling>
          <c:orientation val="minMax"/>
        </c:scaling>
        <c:delete val="1"/>
        <c:axPos val="b"/>
        <c:numFmt formatCode="General" sourceLinked="1"/>
        <c:majorTickMark val="out"/>
        <c:minorTickMark val="none"/>
        <c:tickLblPos val="nextTo"/>
        <c:crossAx val="1017040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fmlaLink="country_ix" fmlaRange="country_list" sel="5" val="0"/>
</file>

<file path=xl/ctrlProps/ctrlProp2.xml><?xml version="1.0" encoding="utf-8"?>
<formControlPr xmlns="http://schemas.microsoft.com/office/spreadsheetml/2009/9/main" objectType="Drop" dropStyle="combo" dx="15" fmlaLink="hump_ix" fmlaRange="hump_choices" sel="4"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469900</xdr:colOff>
      <xdr:row>1</xdr:row>
      <xdr:rowOff>139700</xdr:rowOff>
    </xdr:from>
    <xdr:to>
      <xdr:col>8</xdr:col>
      <xdr:colOff>698500</xdr:colOff>
      <xdr:row>21</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9900" y="330200"/>
          <a:ext cx="6832600" cy="3708400"/>
        </a:xfrm>
        <a:prstGeom prst="rect">
          <a:avLst/>
        </a:prstGeom>
        <a:solidFill>
          <a:schemeClr val="tx1">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This information does not constitute accounting, tax, legal, investment, consulting or other professional advice or services. Crown Agents Investment Management Ltd accept no liability for the impact of any decisions made based on the information provided in this publication.</a:t>
          </a:r>
        </a:p>
        <a:p>
          <a:r>
            <a:rPr lang="en-US" sz="1200" b="0" i="0" u="none" strike="noStrike">
              <a:solidFill>
                <a:schemeClr val="dk1"/>
              </a:solidFill>
              <a:effectLst/>
              <a:latin typeface="+mn-lt"/>
              <a:ea typeface="+mn-ea"/>
              <a:cs typeface="+mn-cs"/>
            </a:rPr>
            <a:t> </a:t>
          </a:r>
        </a:p>
        <a:p>
          <a:r>
            <a:rPr lang="en-US" sz="1200" b="0" i="0" u="none" strike="noStrike">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p>
        <a:p>
          <a:endParaRPr lang="en-US" sz="1200"/>
        </a:p>
        <a:p>
          <a:r>
            <a:rPr lang="en-US" sz="1200"/>
            <a:t>There is no representation or warranty of any kind, whether express or implied, regarding the accuracy or completeness of the information given. The information provided does not constitute advice and it should not be relied on as such.</a:t>
          </a:r>
        </a:p>
        <a:p>
          <a:endParaRPr lang="en-US" sz="1200"/>
        </a:p>
        <a:p>
          <a:r>
            <a:rPr lang="en-US" sz="1200"/>
            <a:t>Any views or opinions expressed are those of Crown Agents Investment Management Ltd and are subject to change due to market and other conditions and should not be taken as statements of policy or intent.</a:t>
          </a:r>
        </a:p>
        <a:p>
          <a:endParaRPr lang="en-US" sz="1200"/>
        </a:p>
        <a:p>
          <a:r>
            <a:rPr lang="en-US" sz="1200"/>
            <a:t>Crown Agents Investment Management Limited. Registered in England &amp; Wales.</a:t>
          </a:r>
        </a:p>
        <a:p>
          <a:r>
            <a:rPr lang="en-US" sz="1200"/>
            <a:t>No: 02169973. Vat Reg No: GB 340 679841.</a:t>
          </a:r>
        </a:p>
        <a:p>
          <a:endParaRPr lang="en-US" sz="1200"/>
        </a:p>
        <a:p>
          <a:r>
            <a:rPr lang="en-US" sz="1200"/>
            <a:t>Authorised and regulated by the Financial Conduct Authority (Financial Services Register number: 119207)</a:t>
          </a:r>
        </a:p>
        <a:p>
          <a:endParaRPr lang="en-US" sz="12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101600</xdr:colOff>
          <xdr:row>2</xdr:row>
          <xdr:rowOff>76200</xdr:rowOff>
        </xdr:from>
        <xdr:to>
          <xdr:col>1</xdr:col>
          <xdr:colOff>787400</xdr:colOff>
          <xdr:row>3</xdr:row>
          <xdr:rowOff>114300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12700</xdr:colOff>
      <xdr:row>7</xdr:row>
      <xdr:rowOff>38100</xdr:rowOff>
    </xdr:from>
    <xdr:to>
      <xdr:col>16</xdr:col>
      <xdr:colOff>25400</xdr:colOff>
      <xdr:row>27</xdr:row>
      <xdr:rowOff>101600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12700</xdr:colOff>
      <xdr:row>28</xdr:row>
      <xdr:rowOff>50800</xdr:rowOff>
    </xdr:from>
    <xdr:to>
      <xdr:col>16</xdr:col>
      <xdr:colOff>31750</xdr:colOff>
      <xdr:row>39</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190500</xdr:colOff>
          <xdr:row>3</xdr:row>
          <xdr:rowOff>63500</xdr:rowOff>
        </xdr:from>
        <xdr:to>
          <xdr:col>10</xdr:col>
          <xdr:colOff>876300</xdr:colOff>
          <xdr:row>4</xdr:row>
          <xdr:rowOff>101600</xdr:rowOff>
        </xdr:to>
        <xdr:sp macro="" textlink="">
          <xdr:nvSpPr>
            <xdr:cNvPr id="3076" name="Drop Dow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63500</xdr:colOff>
          <xdr:row>2</xdr:row>
          <xdr:rowOff>63500</xdr:rowOff>
        </xdr:from>
        <xdr:to>
          <xdr:col>15</xdr:col>
          <xdr:colOff>762000</xdr:colOff>
          <xdr:row>3</xdr:row>
          <xdr:rowOff>139700</xdr:rowOff>
        </xdr:to>
        <xdr:sp macro="" textlink="">
          <xdr:nvSpPr>
            <xdr:cNvPr id="3078" name="Button 6" descr="fit curve"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812800</xdr:colOff>
          <xdr:row>2</xdr:row>
          <xdr:rowOff>114300</xdr:rowOff>
        </xdr:from>
        <xdr:to>
          <xdr:col>19</xdr:col>
          <xdr:colOff>38100</xdr:colOff>
          <xdr:row>4</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 scenario curve</a:t>
              </a:r>
            </a:p>
          </xdr:txBody>
        </xdr:sp>
        <xdr:clientData fPrintsWithSheet="0"/>
      </xdr:twoCellAnchor>
    </mc:Choice>
    <mc:Fallback/>
  </mc:AlternateContent>
  <xdr:twoCellAnchor>
    <xdr:from>
      <xdr:col>1</xdr:col>
      <xdr:colOff>38100</xdr:colOff>
      <xdr:row>1</xdr:row>
      <xdr:rowOff>50800</xdr:rowOff>
    </xdr:from>
    <xdr:to>
      <xdr:col>7</xdr:col>
      <xdr:colOff>787400</xdr:colOff>
      <xdr:row>17</xdr:row>
      <xdr:rowOff>63500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17</xdr:row>
      <xdr:rowOff>139700</xdr:rowOff>
    </xdr:from>
    <xdr:to>
      <xdr:col>7</xdr:col>
      <xdr:colOff>787400</xdr:colOff>
      <xdr:row>30</xdr:row>
      <xdr:rowOff>101600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38</xdr:row>
      <xdr:rowOff>107950</xdr:rowOff>
    </xdr:from>
    <xdr:to>
      <xdr:col>7</xdr:col>
      <xdr:colOff>749300</xdr:colOff>
      <xdr:row>61</xdr:row>
      <xdr:rowOff>152400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CAIM">
      <a:dk1>
        <a:srgbClr val="2C2824"/>
      </a:dk1>
      <a:lt1>
        <a:srgbClr val="FFFFFF"/>
      </a:lt1>
      <a:dk2>
        <a:srgbClr val="D12E28"/>
      </a:dk2>
      <a:lt2>
        <a:srgbClr val="69B578"/>
      </a:lt2>
      <a:accent1>
        <a:srgbClr val="28264B"/>
      </a:accent1>
      <a:accent2>
        <a:srgbClr val="9A221D"/>
      </a:accent2>
      <a:accent3>
        <a:srgbClr val="707070"/>
      </a:accent3>
      <a:accent4>
        <a:srgbClr val="548BE9"/>
      </a:accent4>
      <a:accent5>
        <a:srgbClr val="82ACB3"/>
      </a:accent5>
      <a:accent6>
        <a:srgbClr val="E6BE8A"/>
      </a:accent6>
      <a:hlink>
        <a:srgbClr val="675D54"/>
      </a:hlink>
      <a:folHlink>
        <a:srgbClr val="9E9388"/>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showGridLines="0" workbookViewId="0">
      <selection activeCell="H24" sqref="H24"/>
    </sheetView>
  </sheetViews>
  <sheetFormatPr baseColWidth="10" defaultColWidth="11.5" defaultRowHeight="15" x14ac:dyDescent="0.2"/>
  <sheetData/>
  <sheetProtection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Q139"/>
  <sheetViews>
    <sheetView showGridLines="0" zoomScale="177" zoomScaleNormal="177" workbookViewId="0">
      <selection activeCell="E23" sqref="E23"/>
    </sheetView>
  </sheetViews>
  <sheetFormatPr baseColWidth="10" defaultColWidth="10.83203125" defaultRowHeight="15" x14ac:dyDescent="0.2"/>
  <cols>
    <col min="1" max="1" width="5" style="1" customWidth="1"/>
    <col min="2" max="6" width="10.83203125" style="1"/>
    <col min="7" max="7" width="8.6640625" style="1" customWidth="1"/>
    <col min="8" max="8" width="11" style="1" customWidth="1"/>
    <col min="9" max="10" width="10.83203125" style="1"/>
    <col min="11" max="11" width="14.83203125" style="1" customWidth="1"/>
    <col min="12" max="12" width="12.6640625" style="1" customWidth="1"/>
    <col min="13" max="13" width="4.6640625" style="1" customWidth="1"/>
    <col min="14" max="16384" width="10.83203125" style="1"/>
  </cols>
  <sheetData>
    <row r="2" spans="2:17" x14ac:dyDescent="0.2">
      <c r="B2" s="18" t="s">
        <v>18</v>
      </c>
      <c r="C2" s="18" t="s">
        <v>21</v>
      </c>
      <c r="H2" s="16" t="s">
        <v>19</v>
      </c>
      <c r="I2" s="17"/>
      <c r="J2" s="17"/>
      <c r="K2" s="17"/>
      <c r="P2" s="23" t="s">
        <v>24</v>
      </c>
    </row>
    <row r="3" spans="2:17" x14ac:dyDescent="0.2">
      <c r="B3" s="22"/>
      <c r="C3" s="44">
        <f>obs_date</f>
        <v>45933</v>
      </c>
      <c r="H3" s="9" t="s">
        <v>5</v>
      </c>
      <c r="I3" s="19">
        <v>5.0123690548042292</v>
      </c>
      <c r="J3" s="6" t="s">
        <v>13</v>
      </c>
      <c r="K3" s="9" t="s">
        <v>17</v>
      </c>
      <c r="P3" s="22"/>
    </row>
    <row r="4" spans="2:17" x14ac:dyDescent="0.2">
      <c r="B4" s="22"/>
      <c r="C4" s="44"/>
      <c r="H4" s="9" t="s">
        <v>6</v>
      </c>
      <c r="I4" s="19">
        <v>-0.98872427248237305</v>
      </c>
      <c r="J4" s="6" t="s">
        <v>14</v>
      </c>
      <c r="K4" s="20"/>
      <c r="P4" s="22"/>
    </row>
    <row r="5" spans="2:17" x14ac:dyDescent="0.2">
      <c r="H5" s="9" t="s">
        <v>7</v>
      </c>
      <c r="I5" s="19">
        <v>-3.1194651330807934</v>
      </c>
      <c r="J5" s="6" t="s">
        <v>15</v>
      </c>
      <c r="K5" s="21"/>
      <c r="P5" s="9" t="s">
        <v>22</v>
      </c>
    </row>
    <row r="6" spans="2:17" x14ac:dyDescent="0.2">
      <c r="B6" s="5" t="s">
        <v>3</v>
      </c>
      <c r="C6" s="5" t="s">
        <v>4</v>
      </c>
      <c r="D6" s="5" t="s">
        <v>9</v>
      </c>
      <c r="E6" s="5" t="s">
        <v>10</v>
      </c>
      <c r="F6" s="5" t="s">
        <v>23</v>
      </c>
      <c r="H6" s="9" t="s">
        <v>8</v>
      </c>
      <c r="I6" s="12" cm="1">
        <f t="array" ref="I6">INDEX(lambdas,hump_ix,1)</f>
        <v>0.44833519999999999</v>
      </c>
      <c r="J6" s="6" t="s">
        <v>8</v>
      </c>
      <c r="K6" s="6"/>
      <c r="P6" s="12">
        <f>SUMSQ(E7:E15)</f>
        <v>6.2457702778089359E-3</v>
      </c>
    </row>
    <row r="7" spans="2:17" x14ac:dyDescent="0.2">
      <c r="B7" s="9">
        <f t="array" ref="B7:B15">current_maturities</f>
        <v>0.25</v>
      </c>
      <c r="C7" s="7">
        <f t="array" ref="C7:C15">INDEX(current_rates, , country_ix)</f>
        <v>3.9508999999999999</v>
      </c>
      <c r="D7" s="7">
        <f t="shared" ref="D7:D15" si="0">LOOKUP(B7, ns_table)</f>
        <v>3.914750586768164</v>
      </c>
      <c r="E7" s="8">
        <f t="shared" ref="E7:E15" si="1">IF(ISNA(C7),0,IF(F7,D7-C7,0))</f>
        <v>-3.6149413231835847E-2</v>
      </c>
      <c r="F7" s="22">
        <v>1</v>
      </c>
    </row>
    <row r="8" spans="2:17" x14ac:dyDescent="0.2">
      <c r="B8" s="9">
        <v>0.5</v>
      </c>
      <c r="C8" s="7">
        <v>3.8212999999999999</v>
      </c>
      <c r="D8" s="7">
        <f t="shared" si="0"/>
        <v>3.8250970131489894</v>
      </c>
      <c r="E8" s="8">
        <f t="shared" si="1"/>
        <v>3.7970131489895032E-3</v>
      </c>
      <c r="F8" s="22">
        <v>1</v>
      </c>
    </row>
    <row r="9" spans="2:17" x14ac:dyDescent="0.2">
      <c r="B9" s="9">
        <v>1</v>
      </c>
      <c r="C9" s="7">
        <v>3.6339000000000001</v>
      </c>
      <c r="D9" s="7">
        <f>LOOKUP(B9, ns_table)</f>
        <v>3.6939878494590559</v>
      </c>
      <c r="E9" s="8">
        <f t="shared" si="1"/>
        <v>6.0087849459055764E-2</v>
      </c>
      <c r="F9" s="22">
        <v>1</v>
      </c>
      <c r="Q9" s="1" t="s">
        <v>11</v>
      </c>
    </row>
    <row r="10" spans="2:17" x14ac:dyDescent="0.2">
      <c r="B10" s="9">
        <v>2</v>
      </c>
      <c r="C10" s="7">
        <v>3.5758999999999999</v>
      </c>
      <c r="D10" s="7">
        <f t="shared" si="0"/>
        <v>3.572228062873235</v>
      </c>
      <c r="E10" s="8">
        <f t="shared" si="1"/>
        <v>-3.6719371267648349E-3</v>
      </c>
      <c r="F10" s="22">
        <v>1</v>
      </c>
    </row>
    <row r="11" spans="2:17" x14ac:dyDescent="0.2">
      <c r="B11" s="9">
        <v>3</v>
      </c>
      <c r="C11" s="7">
        <v>3.5916999999999999</v>
      </c>
      <c r="D11" s="7">
        <f t="shared" si="0"/>
        <v>3.5664947005857495</v>
      </c>
      <c r="E11" s="8">
        <f t="shared" si="1"/>
        <v>-2.5205299414250426E-2</v>
      </c>
      <c r="F11" s="22">
        <v>1</v>
      </c>
    </row>
    <row r="12" spans="2:17" x14ac:dyDescent="0.2">
      <c r="B12" s="9">
        <v>5</v>
      </c>
      <c r="C12" s="7">
        <v>3.7149000000000001</v>
      </c>
      <c r="D12" s="7">
        <f t="shared" si="0"/>
        <v>3.7060382094651985</v>
      </c>
      <c r="E12" s="8">
        <f t="shared" si="1"/>
        <v>-8.8617905348016279E-3</v>
      </c>
      <c r="F12" s="22">
        <v>1</v>
      </c>
    </row>
    <row r="13" spans="2:17" x14ac:dyDescent="0.2">
      <c r="B13" s="9">
        <v>7</v>
      </c>
      <c r="C13" s="7">
        <v>3.9033000000000002</v>
      </c>
      <c r="D13" s="7">
        <f t="shared" si="0"/>
        <v>3.8953339906518893</v>
      </c>
      <c r="E13" s="8">
        <f t="shared" si="1"/>
        <v>-7.9660093481108696E-3</v>
      </c>
      <c r="F13" s="22">
        <v>1</v>
      </c>
    </row>
    <row r="14" spans="2:17" x14ac:dyDescent="0.2">
      <c r="B14" s="9">
        <v>10</v>
      </c>
      <c r="C14" s="7">
        <v>4.1192000000000002</v>
      </c>
      <c r="D14" s="7">
        <f t="shared" si="0"/>
        <v>4.1416342654544183</v>
      </c>
      <c r="E14" s="8">
        <f t="shared" si="1"/>
        <v>2.2434265454418068E-2</v>
      </c>
      <c r="F14" s="22">
        <v>1</v>
      </c>
    </row>
    <row r="15" spans="2:17" x14ac:dyDescent="0.2">
      <c r="B15" s="9">
        <v>30</v>
      </c>
      <c r="C15" s="7">
        <v>4.7114000000000003</v>
      </c>
      <c r="D15" s="7">
        <f t="shared" si="0"/>
        <v>4.7069336709017309</v>
      </c>
      <c r="E15" s="8">
        <f t="shared" si="1"/>
        <v>-4.4663290982693837E-3</v>
      </c>
      <c r="F15" s="22">
        <v>1</v>
      </c>
    </row>
    <row r="16" spans="2:17" x14ac:dyDescent="0.2">
      <c r="C16" s="3"/>
    </row>
    <row r="17" spans="2:10" x14ac:dyDescent="0.2">
      <c r="B17" s="10"/>
      <c r="C17" s="11" t="s">
        <v>9</v>
      </c>
      <c r="D17" s="10"/>
      <c r="E17" s="10" t="s">
        <v>20</v>
      </c>
      <c r="F17" s="10"/>
    </row>
    <row r="18" spans="2:10" x14ac:dyDescent="0.2">
      <c r="B18" s="10" t="s">
        <v>3</v>
      </c>
      <c r="C18" s="10" t="s">
        <v>4</v>
      </c>
      <c r="D18" s="10" t="s">
        <v>5</v>
      </c>
      <c r="E18" s="10" t="s">
        <v>6</v>
      </c>
      <c r="F18" s="10" t="s">
        <v>7</v>
      </c>
    </row>
    <row r="19" spans="2:10" x14ac:dyDescent="0.2">
      <c r="B19" s="15">
        <v>2.7000000000000001E-3</v>
      </c>
      <c r="C19" s="7">
        <f t="shared" ref="C19:C50" si="2">beta_0*D19+beta_1*E19+beta_2*F19</f>
        <v>4.0223564276355948</v>
      </c>
      <c r="D19" s="13">
        <v>1</v>
      </c>
      <c r="E19" s="14">
        <f t="shared" ref="E19:E50" si="3">((1-EXP(-lambda*$B19))/(lambda*$B19))</f>
        <v>0.99939499162651768</v>
      </c>
      <c r="F19" s="14">
        <f t="shared" ref="F19:F50" si="4">((1-EXP(-lambda*$B19))/(lambda*$B19)-EXP(-lambda*$B19))</f>
        <v>6.047643008323389E-4</v>
      </c>
    </row>
    <row r="20" spans="2:10" x14ac:dyDescent="0.2">
      <c r="B20" s="15">
        <v>0.25</v>
      </c>
      <c r="C20" s="7">
        <f t="shared" si="2"/>
        <v>3.914750586768164</v>
      </c>
      <c r="D20" s="13">
        <v>1</v>
      </c>
      <c r="E20" s="14">
        <f t="shared" si="3"/>
        <v>0.94599451722124739</v>
      </c>
      <c r="F20" s="14">
        <f t="shared" si="4"/>
        <v>5.2025177490570229E-2</v>
      </c>
    </row>
    <row r="21" spans="2:10" x14ac:dyDescent="0.2">
      <c r="B21" s="15">
        <v>0.5</v>
      </c>
      <c r="C21" s="7">
        <f t="shared" si="2"/>
        <v>3.8250970131489894</v>
      </c>
      <c r="D21" s="13">
        <v>1</v>
      </c>
      <c r="E21" s="14">
        <f t="shared" si="3"/>
        <v>0.89584230558518352</v>
      </c>
      <c r="F21" s="14">
        <f t="shared" si="4"/>
        <v>9.6661125206680687E-2</v>
      </c>
    </row>
    <row r="22" spans="2:10" x14ac:dyDescent="0.2">
      <c r="B22" s="15">
        <v>0.75</v>
      </c>
      <c r="C22" s="7">
        <f t="shared" si="2"/>
        <v>3.7522314685494669</v>
      </c>
      <c r="D22" s="13">
        <v>1</v>
      </c>
      <c r="E22" s="14">
        <f t="shared" si="3"/>
        <v>0.84923520869161206</v>
      </c>
      <c r="F22" s="14">
        <f t="shared" si="4"/>
        <v>0.13479173654345877</v>
      </c>
      <c r="J22" s="1" t="s">
        <v>11</v>
      </c>
    </row>
    <row r="23" spans="2:10" x14ac:dyDescent="0.2">
      <c r="B23" s="15">
        <v>1</v>
      </c>
      <c r="C23" s="7">
        <f t="shared" si="2"/>
        <v>3.6939878494590559</v>
      </c>
      <c r="D23" s="13">
        <v>1</v>
      </c>
      <c r="E23" s="14">
        <f t="shared" si="3"/>
        <v>0.80589130839787504</v>
      </c>
      <c r="F23" s="14">
        <f t="shared" si="4"/>
        <v>0.16720074932669804</v>
      </c>
    </row>
    <row r="24" spans="2:10" x14ac:dyDescent="0.2">
      <c r="B24" s="15">
        <v>1.25</v>
      </c>
      <c r="C24" s="7">
        <f t="shared" si="2"/>
        <v>3.6484542861249176</v>
      </c>
      <c r="D24" s="13">
        <v>1</v>
      </c>
      <c r="E24" s="14">
        <f t="shared" si="3"/>
        <v>0.76555260013476145</v>
      </c>
      <c r="F24" s="14">
        <f t="shared" si="4"/>
        <v>0.1945828227496843</v>
      </c>
    </row>
    <row r="25" spans="2:10" x14ac:dyDescent="0.2">
      <c r="B25" s="15">
        <v>1.5</v>
      </c>
      <c r="C25" s="7">
        <f t="shared" si="2"/>
        <v>3.6139444498770694</v>
      </c>
      <c r="D25" s="13">
        <v>1</v>
      </c>
      <c r="E25" s="14">
        <f t="shared" si="3"/>
        <v>0.72798287992985444</v>
      </c>
      <c r="F25" s="14">
        <f t="shared" si="4"/>
        <v>0.2175534050347453</v>
      </c>
    </row>
    <row r="26" spans="2:10" x14ac:dyDescent="0.2">
      <c r="B26" s="15">
        <v>1.75</v>
      </c>
      <c r="C26" s="7">
        <f t="shared" si="2"/>
        <v>3.5889720342425084</v>
      </c>
      <c r="D26" s="13">
        <v>1</v>
      </c>
      <c r="E26" s="14">
        <f t="shared" si="3"/>
        <v>0.69296582346543145</v>
      </c>
      <c r="F26" s="14">
        <f t="shared" si="4"/>
        <v>0.23665752281437452</v>
      </c>
    </row>
    <row r="27" spans="2:10" x14ac:dyDescent="0.2">
      <c r="B27" s="15">
        <v>2</v>
      </c>
      <c r="C27" s="7">
        <f t="shared" si="2"/>
        <v>3.572228062873235</v>
      </c>
      <c r="D27" s="13">
        <v>1</v>
      </c>
      <c r="E27" s="14">
        <f t="shared" si="3"/>
        <v>0.66030323935455804</v>
      </c>
      <c r="F27" s="14">
        <f t="shared" si="4"/>
        <v>0.25237760910790535</v>
      </c>
    </row>
    <row r="28" spans="2:10" x14ac:dyDescent="0.2">
      <c r="B28" s="15">
        <v>2.25</v>
      </c>
      <c r="C28" s="7">
        <f t="shared" si="2"/>
        <v>3.5625607149653957</v>
      </c>
      <c r="D28" s="13">
        <v>1</v>
      </c>
      <c r="E28" s="14">
        <f t="shared" si="3"/>
        <v>0.62981348049820229</v>
      </c>
      <c r="F28" s="14">
        <f t="shared" si="4"/>
        <v>0.2651404741673819</v>
      </c>
    </row>
    <row r="29" spans="2:10" x14ac:dyDescent="0.2">
      <c r="B29" s="15">
        <v>2.5</v>
      </c>
      <c r="C29" s="7">
        <f t="shared" si="2"/>
        <v>3.5589573924336144</v>
      </c>
      <c r="D29" s="13">
        <v>1</v>
      </c>
      <c r="E29" s="14">
        <f t="shared" si="3"/>
        <v>0.6013299989051365</v>
      </c>
      <c r="F29" s="14">
        <f t="shared" si="4"/>
        <v>0.27532351221797191</v>
      </c>
    </row>
    <row r="30" spans="2:10" x14ac:dyDescent="0.2">
      <c r="B30" s="15">
        <v>2.75</v>
      </c>
      <c r="C30" s="7">
        <f t="shared" si="2"/>
        <v>3.5605287830633925</v>
      </c>
      <c r="D30" s="13">
        <v>1</v>
      </c>
      <c r="E30" s="14">
        <f t="shared" si="3"/>
        <v>0.5747000307305441</v>
      </c>
      <c r="F30" s="14">
        <f t="shared" si="4"/>
        <v>0.28326022707890181</v>
      </c>
    </row>
    <row r="31" spans="2:10" x14ac:dyDescent="0.2">
      <c r="B31" s="15">
        <v>3</v>
      </c>
      <c r="C31" s="7">
        <f t="shared" si="2"/>
        <v>3.5664947005857495</v>
      </c>
      <c r="D31" s="13">
        <v>1</v>
      </c>
      <c r="E31" s="14">
        <f t="shared" si="3"/>
        <v>0.54978339953253963</v>
      </c>
      <c r="F31" s="14">
        <f t="shared" si="4"/>
        <v>0.28924515069084278</v>
      </c>
    </row>
    <row r="32" spans="2:10" x14ac:dyDescent="0.2">
      <c r="B32" s="15">
        <v>3.25</v>
      </c>
      <c r="C32" s="7">
        <f t="shared" si="2"/>
        <v>3.5761715064504571</v>
      </c>
      <c r="D32" s="13">
        <v>1</v>
      </c>
      <c r="E32" s="14">
        <f t="shared" si="3"/>
        <v>0.52645142687085733</v>
      </c>
      <c r="F32" s="14">
        <f t="shared" si="4"/>
        <v>0.29353822057925871</v>
      </c>
    </row>
    <row r="33" spans="2:6" x14ac:dyDescent="0.2">
      <c r="B33" s="15">
        <v>3.5</v>
      </c>
      <c r="C33" s="7">
        <f t="shared" si="2"/>
        <v>3.5889609393286346</v>
      </c>
      <c r="D33" s="13">
        <v>1</v>
      </c>
      <c r="E33" s="14">
        <f t="shared" si="3"/>
        <v>0.5045859403901013</v>
      </c>
      <c r="F33" s="14">
        <f t="shared" si="4"/>
        <v>0.2963686751470459</v>
      </c>
    </row>
    <row r="34" spans="2:6" x14ac:dyDescent="0.2">
      <c r="B34" s="15">
        <v>3.75</v>
      </c>
      <c r="C34" s="7">
        <f t="shared" si="2"/>
        <v>3.6043401973296429</v>
      </c>
      <c r="D34" s="13">
        <v>1</v>
      </c>
      <c r="E34" s="14">
        <f t="shared" si="3"/>
        <v>0.48407837045147678</v>
      </c>
      <c r="F34" s="14">
        <f t="shared" si="4"/>
        <v>0.2979385193216153</v>
      </c>
    </row>
    <row r="35" spans="2:6" x14ac:dyDescent="0.2">
      <c r="B35" s="15">
        <v>4</v>
      </c>
      <c r="C35" s="7">
        <f t="shared" si="2"/>
        <v>3.6218531348191809</v>
      </c>
      <c r="D35" s="13">
        <v>1</v>
      </c>
      <c r="E35" s="14">
        <f t="shared" si="3"/>
        <v>0.46482892721108626</v>
      </c>
      <c r="F35" s="14">
        <f t="shared" si="4"/>
        <v>0.29842560739895746</v>
      </c>
    </row>
    <row r="36" spans="2:6" x14ac:dyDescent="0.2">
      <c r="B36" s="15">
        <v>4.25</v>
      </c>
      <c r="C36" s="7">
        <f t="shared" si="2"/>
        <v>3.6411024507963714</v>
      </c>
      <c r="D36" s="13">
        <v>1</v>
      </c>
      <c r="E36" s="14">
        <f t="shared" si="3"/>
        <v>0.44674585079806284</v>
      </c>
      <c r="F36" s="14">
        <f t="shared" si="4"/>
        <v>0.29798638485662132</v>
      </c>
    </row>
    <row r="37" spans="2:6" x14ac:dyDescent="0.2">
      <c r="B37" s="15">
        <v>4.5</v>
      </c>
      <c r="C37" s="7">
        <f t="shared" si="2"/>
        <v>3.6617427592250529</v>
      </c>
      <c r="D37" s="13">
        <v>1</v>
      </c>
      <c r="E37" s="14">
        <f t="shared" si="3"/>
        <v>0.42974472792957957</v>
      </c>
      <c r="F37" s="14">
        <f t="shared" si="4"/>
        <v>0.29675832638322097</v>
      </c>
    </row>
    <row r="38" spans="2:6" x14ac:dyDescent="0.2">
      <c r="B38" s="15">
        <v>4.75</v>
      </c>
      <c r="C38" s="7">
        <f t="shared" si="2"/>
        <v>3.6834744436945357</v>
      </c>
      <c r="D38" s="13">
        <v>1</v>
      </c>
      <c r="E38" s="14">
        <f t="shared" si="3"/>
        <v>0.41374786891896165</v>
      </c>
      <c r="F38" s="14">
        <f t="shared" si="4"/>
        <v>0.29486210333540475</v>
      </c>
    </row>
    <row r="39" spans="2:6" x14ac:dyDescent="0.2">
      <c r="B39" s="15">
        <v>5</v>
      </c>
      <c r="C39" s="7">
        <f t="shared" si="2"/>
        <v>3.7060382094651985</v>
      </c>
      <c r="D39" s="13">
        <v>1</v>
      </c>
      <c r="E39" s="14">
        <f t="shared" si="3"/>
        <v>0.3986837395938983</v>
      </c>
      <c r="F39" s="14">
        <f t="shared" si="4"/>
        <v>0.2924035102317899</v>
      </c>
    </row>
    <row r="40" spans="2:6" x14ac:dyDescent="0.2">
      <c r="B40" s="15">
        <v>5.25</v>
      </c>
      <c r="C40" s="7">
        <f t="shared" si="2"/>
        <v>3.7292102554747322</v>
      </c>
      <c r="D40" s="13">
        <v>1</v>
      </c>
      <c r="E40" s="14">
        <f t="shared" si="3"/>
        <v>0.38448644314969227</v>
      </c>
      <c r="F40" s="14">
        <f t="shared" si="4"/>
        <v>0.28947517668042327</v>
      </c>
    </row>
    <row r="41" spans="2:6" x14ac:dyDescent="0.2">
      <c r="B41" s="15">
        <v>5.5</v>
      </c>
      <c r="C41" s="7">
        <f t="shared" si="2"/>
        <v>3.7527979973669492</v>
      </c>
      <c r="D41" s="13">
        <v>1</v>
      </c>
      <c r="E41" s="14">
        <f t="shared" si="3"/>
        <v>0.37109524742262329</v>
      </c>
      <c r="F41" s="14">
        <f t="shared" si="4"/>
        <v>0.28615808827011546</v>
      </c>
    </row>
    <row r="42" spans="2:6" x14ac:dyDescent="0.2">
      <c r="B42" s="15">
        <v>5.75</v>
      </c>
      <c r="C42" s="7">
        <f t="shared" si="2"/>
        <v>3.7766362801685922</v>
      </c>
      <c r="D42" s="13">
        <v>1</v>
      </c>
      <c r="E42" s="14">
        <f t="shared" si="3"/>
        <v>0.35845415348540582</v>
      </c>
      <c r="F42" s="14">
        <f t="shared" si="4"/>
        <v>0.28252293739923895</v>
      </c>
    </row>
    <row r="43" spans="2:6" x14ac:dyDescent="0.2">
      <c r="B43" s="15">
        <v>6</v>
      </c>
      <c r="C43" s="7">
        <f t="shared" si="2"/>
        <v>3.8005840259802666</v>
      </c>
      <c r="D43" s="13">
        <v>1</v>
      </c>
      <c r="E43" s="14">
        <f t="shared" si="3"/>
        <v>0.34651150184449125</v>
      </c>
      <c r="F43" s="14">
        <f t="shared" si="4"/>
        <v>0.2786313227349933</v>
      </c>
    </row>
    <row r="44" spans="2:6" x14ac:dyDescent="0.2">
      <c r="B44" s="15">
        <v>6.25</v>
      </c>
      <c r="C44" s="7">
        <f t="shared" si="2"/>
        <v>3.8245212680544829</v>
      </c>
      <c r="D44" s="13">
        <v>1</v>
      </c>
      <c r="E44" s="14">
        <f t="shared" si="3"/>
        <v>0.33521961286133484</v>
      </c>
      <c r="F44" s="14">
        <f t="shared" si="4"/>
        <v>0.27453681396201685</v>
      </c>
    </row>
    <row r="45" spans="2:6" x14ac:dyDescent="0.2">
      <c r="B45" s="15">
        <v>6.5</v>
      </c>
      <c r="C45" s="7">
        <f t="shared" si="2"/>
        <v>3.8483465279863163</v>
      </c>
      <c r="D45" s="13">
        <v>1</v>
      </c>
      <c r="E45" s="14">
        <f t="shared" si="3"/>
        <v>0.32453445833006789</v>
      </c>
      <c r="F45" s="14">
        <f t="shared" si="4"/>
        <v>0.27028589666503511</v>
      </c>
    </row>
    <row r="46" spans="2:6" x14ac:dyDescent="0.2">
      <c r="B46" s="15">
        <v>6.75</v>
      </c>
      <c r="C46" s="7">
        <f t="shared" si="2"/>
        <v>3.8719744975110579</v>
      </c>
      <c r="D46" s="13">
        <v>1</v>
      </c>
      <c r="E46" s="14">
        <f t="shared" si="3"/>
        <v>0.31441536142533427</v>
      </c>
      <c r="F46" s="14">
        <f t="shared" si="4"/>
        <v>0.26591881057230604</v>
      </c>
    </row>
    <row r="47" spans="2:6" x14ac:dyDescent="0.2">
      <c r="B47" s="15">
        <v>7</v>
      </c>
      <c r="C47" s="7">
        <f t="shared" si="2"/>
        <v>3.8953339906518893</v>
      </c>
      <c r="D47" s="13">
        <v>1</v>
      </c>
      <c r="E47" s="14">
        <f t="shared" si="3"/>
        <v>0.3048247224891118</v>
      </c>
      <c r="F47" s="14">
        <f t="shared" si="4"/>
        <v>0.26147029294381491</v>
      </c>
    </row>
    <row r="48" spans="2:6" x14ac:dyDescent="0.2">
      <c r="B48" s="15">
        <v>7.25</v>
      </c>
      <c r="C48" s="7">
        <f t="shared" si="2"/>
        <v>3.9183661357452459</v>
      </c>
      <c r="D48" s="13">
        <v>1</v>
      </c>
      <c r="E48" s="14">
        <f t="shared" si="3"/>
        <v>0.2957277683566289</v>
      </c>
      <c r="F48" s="14">
        <f t="shared" si="4"/>
        <v>0.25697023760161969</v>
      </c>
    </row>
    <row r="49" spans="2:6" x14ac:dyDescent="0.2">
      <c r="B49" s="15">
        <v>7.5</v>
      </c>
      <c r="C49" s="7">
        <f t="shared" si="2"/>
        <v>3.9410227802426423</v>
      </c>
      <c r="D49" s="13">
        <v>1</v>
      </c>
      <c r="E49" s="14">
        <f t="shared" si="3"/>
        <v>0.28709232313125033</v>
      </c>
      <c r="F49" s="14">
        <f t="shared" si="4"/>
        <v>0.25244427895260335</v>
      </c>
    </row>
    <row r="50" spans="2:6" x14ac:dyDescent="0.2">
      <c r="B50" s="15">
        <v>7.75</v>
      </c>
      <c r="C50" s="7">
        <f t="shared" si="2"/>
        <v>3.9632650841900103</v>
      </c>
      <c r="D50" s="13">
        <v>1</v>
      </c>
      <c r="E50" s="14">
        <f t="shared" si="3"/>
        <v>0.27888859850848224</v>
      </c>
      <c r="F50" s="14">
        <f t="shared" si="4"/>
        <v>0.24791430933113784</v>
      </c>
    </row>
    <row r="51" spans="2:6" x14ac:dyDescent="0.2">
      <c r="B51" s="15">
        <v>8</v>
      </c>
      <c r="C51" s="7">
        <f t="shared" ref="C51:C82" si="5">beta_0*D51+beta_1*E51+beta_2*F51</f>
        <v>3.9850622809593048</v>
      </c>
      <c r="D51" s="13">
        <v>1</v>
      </c>
      <c r="E51" s="14">
        <f t="shared" ref="E51:E82" si="6">((1-EXP(-lambda*$B51))/(lambda*$B51))</f>
        <v>0.27108900192186069</v>
      </c>
      <c r="F51" s="14">
        <f t="shared" ref="F51:F82" si="7">((1-EXP(-lambda*$B51))/(lambda*$B51)-EXP(-lambda*$B51))</f>
        <v>0.24339893707736307</v>
      </c>
    </row>
    <row r="52" spans="2:6" x14ac:dyDescent="0.2">
      <c r="B52" s="15">
        <v>8.25</v>
      </c>
      <c r="C52" s="7">
        <f t="shared" si="5"/>
        <v>4.0063905861877132</v>
      </c>
      <c r="D52" s="13">
        <v>1</v>
      </c>
      <c r="E52" s="14">
        <f t="shared" si="6"/>
        <v>0.26366796094011929</v>
      </c>
      <c r="F52" s="14">
        <f t="shared" si="7"/>
        <v>0.23891389195398413</v>
      </c>
    </row>
    <row r="53" spans="2:6" x14ac:dyDescent="0.2">
      <c r="B53" s="15">
        <v>8.5</v>
      </c>
      <c r="C53" s="7">
        <f t="shared" si="5"/>
        <v>4.0272322379994039</v>
      </c>
      <c r="D53" s="13">
        <v>1</v>
      </c>
      <c r="E53" s="14">
        <f t="shared" si="6"/>
        <v>0.25660176248716876</v>
      </c>
      <c r="F53" s="14">
        <f t="shared" si="7"/>
        <v>0.23447238377998586</v>
      </c>
    </row>
    <row r="54" spans="2:6" x14ac:dyDescent="0.2">
      <c r="B54" s="15">
        <v>8.75</v>
      </c>
      <c r="C54" s="7">
        <f t="shared" si="5"/>
        <v>4.0475746534714823</v>
      </c>
      <c r="D54" s="13">
        <v>1</v>
      </c>
      <c r="E54" s="14">
        <f t="shared" si="6"/>
        <v>0.24986840558543558</v>
      </c>
      <c r="F54" s="14">
        <f t="shared" si="7"/>
        <v>0.23008541951392519</v>
      </c>
    </row>
    <row r="55" spans="2:6" x14ac:dyDescent="0.2">
      <c r="B55" s="15">
        <v>9</v>
      </c>
      <c r="C55" s="7">
        <f t="shared" si="5"/>
        <v>4.0674096879852755</v>
      </c>
      <c r="D55" s="13">
        <v>1</v>
      </c>
      <c r="E55" s="14">
        <f t="shared" si="6"/>
        <v>0.24344746644022663</v>
      </c>
      <c r="F55" s="14">
        <f t="shared" si="7"/>
        <v>0.2257620834439773</v>
      </c>
    </row>
    <row r="56" spans="2:6" x14ac:dyDescent="0.2">
      <c r="B56" s="15">
        <v>9.25</v>
      </c>
      <c r="C56" s="7">
        <f t="shared" si="5"/>
        <v>4.0867329855986601</v>
      </c>
      <c r="D56" s="13">
        <v>1</v>
      </c>
      <c r="E56" s="14">
        <f t="shared" si="6"/>
        <v>0.23731997478912348</v>
      </c>
      <c r="F56" s="14">
        <f t="shared" si="7"/>
        <v>0.22150978462908233</v>
      </c>
    </row>
    <row r="57" spans="2:6" x14ac:dyDescent="0.2">
      <c r="B57" s="15">
        <v>9.5</v>
      </c>
      <c r="C57" s="7">
        <f t="shared" si="5"/>
        <v>4.1055434099051009</v>
      </c>
      <c r="D57" s="13">
        <v>1</v>
      </c>
      <c r="E57" s="14">
        <f t="shared" si="6"/>
        <v>0.23146830053697878</v>
      </c>
      <c r="F57" s="14">
        <f t="shared" si="7"/>
        <v>0.21733447527859034</v>
      </c>
    </row>
    <row r="58" spans="2:6" x14ac:dyDescent="0.2">
      <c r="B58" s="15">
        <v>9.75</v>
      </c>
      <c r="C58" s="7">
        <f t="shared" si="5"/>
        <v>4.1238425460283628</v>
      </c>
      <c r="D58" s="13">
        <v>1</v>
      </c>
      <c r="E58" s="14">
        <f t="shared" si="6"/>
        <v>0.22587604978479464</v>
      </c>
      <c r="F58" s="14">
        <f t="shared" si="7"/>
        <v>0.21324084335068436</v>
      </c>
    </row>
    <row r="59" spans="2:6" x14ac:dyDescent="0.2">
      <c r="B59" s="15">
        <v>10</v>
      </c>
      <c r="C59" s="7">
        <f t="shared" si="5"/>
        <v>4.1416342654544183</v>
      </c>
      <c r="D59" s="13">
        <v>1</v>
      </c>
      <c r="E59" s="14">
        <f t="shared" si="6"/>
        <v>0.22052796944044048</v>
      </c>
      <c r="F59" s="14">
        <f t="shared" si="7"/>
        <v>0.20923248228717811</v>
      </c>
    </row>
    <row r="60" spans="2:6" x14ac:dyDescent="0.2">
      <c r="B60" s="15">
        <v>10.25</v>
      </c>
      <c r="C60" s="7">
        <f t="shared" si="5"/>
        <v>4.158924346338333</v>
      </c>
      <c r="D60" s="13">
        <v>1</v>
      </c>
      <c r="E60" s="14">
        <f t="shared" si="6"/>
        <v>0.21540985967155971</v>
      </c>
      <c r="F60" s="14">
        <f t="shared" si="7"/>
        <v>0.20531204047922139</v>
      </c>
    </row>
    <row r="61" spans="2:6" x14ac:dyDescent="0.2">
      <c r="B61" s="15">
        <v>10.5</v>
      </c>
      <c r="C61" s="7">
        <f t="shared" si="5"/>
        <v>4.175720142756397</v>
      </c>
      <c r="D61" s="13">
        <v>1</v>
      </c>
      <c r="E61" s="14">
        <f t="shared" si="6"/>
        <v>0.21050849352680456</v>
      </c>
      <c r="F61" s="14">
        <f t="shared" si="7"/>
        <v>0.20148135277071011</v>
      </c>
    </row>
    <row r="62" spans="2:6" x14ac:dyDescent="0.2">
      <c r="B62" s="15">
        <v>10.75</v>
      </c>
      <c r="C62" s="7">
        <f t="shared" si="5"/>
        <v>4.1920302971140453</v>
      </c>
      <c r="D62" s="13">
        <v>1</v>
      </c>
      <c r="E62" s="14">
        <f t="shared" si="6"/>
        <v>0.20581154311133118</v>
      </c>
      <c r="F62" s="14">
        <f t="shared" si="7"/>
        <v>0.19774155604994956</v>
      </c>
    </row>
    <row r="63" spans="2:6" x14ac:dyDescent="0.2">
      <c r="B63" s="15">
        <v>11</v>
      </c>
      <c r="C63" s="7">
        <f t="shared" si="5"/>
        <v>4.2078644905780926</v>
      </c>
      <c r="D63" s="13">
        <v>1</v>
      </c>
      <c r="E63" s="14">
        <f t="shared" si="6"/>
        <v>0.20130751175684897</v>
      </c>
      <c r="F63" s="14">
        <f t="shared" si="7"/>
        <v>0.19409319075195053</v>
      </c>
    </row>
    <row r="64" spans="2:6" x14ac:dyDescent="0.2">
      <c r="B64" s="15">
        <v>11.25</v>
      </c>
      <c r="C64" s="7">
        <f t="shared" si="5"/>
        <v>4.2232332269867126</v>
      </c>
      <c r="D64" s="13">
        <v>1</v>
      </c>
      <c r="E64" s="14">
        <f t="shared" si="6"/>
        <v>0.19698567167594361</v>
      </c>
      <c r="F64" s="14">
        <f t="shared" si="7"/>
        <v>0.19053628989058938</v>
      </c>
    </row>
    <row r="65" spans="2:6" x14ac:dyDescent="0.2">
      <c r="B65" s="15">
        <v>11.5</v>
      </c>
      <c r="C65" s="7">
        <f t="shared" si="5"/>
        <v>4.2381476462101881</v>
      </c>
      <c r="D65" s="13">
        <v>1</v>
      </c>
      <c r="E65" s="14">
        <f t="shared" si="6"/>
        <v>0.19283600663534509</v>
      </c>
      <c r="F65" s="14">
        <f t="shared" si="7"/>
        <v>0.18707045705902092</v>
      </c>
    </row>
    <row r="66" spans="2:6" x14ac:dyDescent="0.2">
      <c r="B66" s="15">
        <v>11.75</v>
      </c>
      <c r="C66" s="7">
        <f t="shared" si="5"/>
        <v>4.2526193633972582</v>
      </c>
      <c r="D66" s="13">
        <v>1</v>
      </c>
      <c r="E66" s="14">
        <f t="shared" si="6"/>
        <v>0.1888491592236988</v>
      </c>
      <c r="F66" s="14">
        <f t="shared" si="7"/>
        <v>0.18369493467576781</v>
      </c>
    </row>
    <row r="67" spans="2:6" x14ac:dyDescent="0.2">
      <c r="B67" s="15">
        <v>12</v>
      </c>
      <c r="C67" s="7">
        <f t="shared" si="5"/>
        <v>4.2666603309518853</v>
      </c>
      <c r="D67" s="13">
        <v>1</v>
      </c>
      <c r="E67" s="14">
        <f t="shared" si="6"/>
        <v>0.1850163823265982</v>
      </c>
      <c r="F67" s="14">
        <f t="shared" si="7"/>
        <v>0.18040866361066069</v>
      </c>
    </row>
    <row r="68" spans="2:6" x14ac:dyDescent="0.2">
      <c r="B68" s="15">
        <v>12.25</v>
      </c>
      <c r="C68" s="7">
        <f t="shared" si="5"/>
        <v>4.2802827204494802</v>
      </c>
      <c r="D68" s="13">
        <v>1</v>
      </c>
      <c r="E68" s="14">
        <f t="shared" si="6"/>
        <v>0.18132949445548752</v>
      </c>
      <c r="F68" s="14">
        <f t="shared" si="7"/>
        <v>0.17721033519733617</v>
      </c>
    </row>
    <row r="69" spans="2:6" x14ac:dyDescent="0.2">
      <c r="B69" s="15">
        <v>12.5</v>
      </c>
      <c r="C69" s="7">
        <f t="shared" si="5"/>
        <v>4.2934988220248904</v>
      </c>
      <c r="D69" s="13">
        <v>1</v>
      </c>
      <c r="E69" s="14">
        <f t="shared" si="6"/>
        <v>0.17778083860785321</v>
      </c>
      <c r="F69" s="14">
        <f t="shared" si="7"/>
        <v>0.17409843652559814</v>
      </c>
    </row>
    <row r="70" spans="2:6" x14ac:dyDescent="0.2">
      <c r="B70" s="15">
        <v>12.75</v>
      </c>
      <c r="C70" s="7">
        <f t="shared" si="5"/>
        <v>4.3063209590513924</v>
      </c>
      <c r="D70" s="13">
        <v>1</v>
      </c>
      <c r="E70" s="14">
        <f t="shared" si="6"/>
        <v>0.17436324436417017</v>
      </c>
      <c r="F70" s="14">
        <f t="shared" si="7"/>
        <v>0.17107128980607372</v>
      </c>
    </row>
    <row r="71" spans="2:6" x14ac:dyDescent="0.2">
      <c r="B71" s="15">
        <v>13</v>
      </c>
      <c r="C71" s="7">
        <f t="shared" si="5"/>
        <v>4.3187614161845609</v>
      </c>
      <c r="D71" s="13">
        <v>1</v>
      </c>
      <c r="E71" s="14">
        <f t="shared" si="6"/>
        <v>0.1710699929526073</v>
      </c>
      <c r="F71" s="14">
        <f t="shared" si="7"/>
        <v>0.16812708650988245</v>
      </c>
    </row>
    <row r="72" spans="2:6" x14ac:dyDescent="0.2">
      <c r="B72" s="15">
        <v>13.25</v>
      </c>
      <c r="C72" s="7">
        <f t="shared" si="5"/>
        <v>4.3308323790707126</v>
      </c>
      <c r="D72" s="13">
        <v>1</v>
      </c>
      <c r="E72" s="14">
        <f t="shared" si="6"/>
        <v>0.16789478503575644</v>
      </c>
      <c r="F72" s="14">
        <f t="shared" si="7"/>
        <v>0.16526391690626455</v>
      </c>
    </row>
    <row r="73" spans="2:6" x14ac:dyDescent="0.2">
      <c r="B73" s="15">
        <v>13.5</v>
      </c>
      <c r="C73" s="7">
        <f t="shared" si="5"/>
        <v>4.3425458842199056</v>
      </c>
      <c r="D73" s="13">
        <v>1</v>
      </c>
      <c r="E73" s="14">
        <f t="shared" si="6"/>
        <v>0.16483171099483562</v>
      </c>
      <c r="F73" s="14">
        <f t="shared" si="7"/>
        <v>0.16247979555019526</v>
      </c>
    </row>
    <row r="74" spans="2:6" x14ac:dyDescent="0.2">
      <c r="B74" s="15">
        <v>13.75</v>
      </c>
      <c r="C74" s="7">
        <f t="shared" si="5"/>
        <v>4.3539137777210568</v>
      </c>
      <c r="D74" s="13">
        <v>1</v>
      </c>
      <c r="E74" s="14">
        <f t="shared" si="6"/>
        <v>0.16187522350612221</v>
      </c>
      <c r="F74" s="14">
        <f t="shared" si="7"/>
        <v>0.1597726832089747</v>
      </c>
    </row>
    <row r="75" spans="2:6" x14ac:dyDescent="0.2">
      <c r="B75" s="15">
        <v>14</v>
      </c>
      <c r="C75" s="7">
        <f t="shared" si="5"/>
        <v>4.3649476816340531</v>
      </c>
      <c r="D75" s="13">
        <v>1</v>
      </c>
      <c r="E75" s="14">
        <f t="shared" si="6"/>
        <v>0.15902011222196533</v>
      </c>
      <c r="F75" s="14">
        <f t="shared" si="7"/>
        <v>0.1571405056607672</v>
      </c>
    </row>
    <row r="76" spans="2:6" x14ac:dyDescent="0.2">
      <c r="B76" s="15">
        <v>14.25</v>
      </c>
      <c r="C76" s="7">
        <f t="shared" si="5"/>
        <v>4.3756589670331358</v>
      </c>
      <c r="D76" s="13">
        <v>1</v>
      </c>
      <c r="E76" s="14">
        <f t="shared" si="6"/>
        <v>0.15626148038476292</v>
      </c>
      <c r="F76" s="14">
        <f t="shared" si="7"/>
        <v>0.15458116974829519</v>
      </c>
    </row>
    <row r="77" spans="2:6" x14ac:dyDescent="0.2">
      <c r="B77" s="15">
        <v>14.5</v>
      </c>
      <c r="C77" s="7">
        <f t="shared" si="5"/>
        <v>4.3860587327993086</v>
      </c>
      <c r="D77" s="13">
        <v>1</v>
      </c>
      <c r="E77" s="14">
        <f t="shared" si="6"/>
        <v>0.15359472321691059</v>
      </c>
      <c r="F77" s="14">
        <f t="shared" si="7"/>
        <v>0.15209257702668511</v>
      </c>
    </row>
    <row r="78" spans="2:6" x14ac:dyDescent="0.2">
      <c r="B78" s="15">
        <v>14.75</v>
      </c>
      <c r="C78" s="7">
        <f t="shared" si="5"/>
        <v>4.396157789368746</v>
      </c>
      <c r="D78" s="13">
        <v>1</v>
      </c>
      <c r="E78" s="14">
        <f t="shared" si="6"/>
        <v>0.15101550794306492</v>
      </c>
      <c r="F78" s="14">
        <f t="shared" si="7"/>
        <v>0.14967263530521011</v>
      </c>
    </row>
    <row r="79" spans="2:6" x14ac:dyDescent="0.2">
      <c r="B79" s="15">
        <v>15</v>
      </c>
      <c r="C79" s="7">
        <f t="shared" si="5"/>
        <v>4.4059666467409002</v>
      </c>
      <c r="D79" s="13">
        <v>1</v>
      </c>
      <c r="E79" s="14">
        <f t="shared" si="6"/>
        <v>0.14851975531322614</v>
      </c>
      <c r="F79" s="14">
        <f t="shared" si="7"/>
        <v>0.14731926834782066</v>
      </c>
    </row>
    <row r="80" spans="2:6" x14ac:dyDescent="0.2">
      <c r="B80" s="15">
        <v>15.25</v>
      </c>
      <c r="C80" s="7">
        <f t="shared" si="5"/>
        <v>4.4154955061355192</v>
      </c>
      <c r="D80" s="13">
        <v>1</v>
      </c>
      <c r="E80" s="14">
        <f t="shared" si="6"/>
        <v>0.14610362250624323</v>
      </c>
      <c r="F80" s="14">
        <f t="shared" si="7"/>
        <v>0.1450304239664244</v>
      </c>
    </row>
    <row r="81" spans="2:6" x14ac:dyDescent="0.2">
      <c r="B81" s="15">
        <v>15.5</v>
      </c>
      <c r="C81" s="7">
        <f t="shared" si="5"/>
        <v>4.4247542547633651</v>
      </c>
      <c r="D81" s="13">
        <v>1</v>
      </c>
      <c r="E81" s="14">
        <f t="shared" si="6"/>
        <v>0.14376348730347413</v>
      </c>
      <c r="F81" s="14">
        <f t="shared" si="7"/>
        <v>0.14280408071343237</v>
      </c>
    </row>
    <row r="82" spans="2:6" x14ac:dyDescent="0.2">
      <c r="B82" s="15">
        <v>15.75</v>
      </c>
      <c r="C82" s="7">
        <f t="shared" si="5"/>
        <v>4.4337524632422518</v>
      </c>
      <c r="D82" s="13">
        <v>1</v>
      </c>
      <c r="E82" s="14">
        <f t="shared" si="6"/>
        <v>0.14149593343157715</v>
      </c>
      <c r="F82" s="14">
        <f t="shared" si="7"/>
        <v>0.14063825335574426</v>
      </c>
    </row>
    <row r="83" spans="2:6" x14ac:dyDescent="0.2">
      <c r="B83" s="15">
        <v>16</v>
      </c>
      <c r="C83" s="7">
        <f t="shared" ref="C83:C114" si="8">beta_0*D83+beta_1*E83+beta_2*F83</f>
        <v>4.4424993852489667</v>
      </c>
      <c r="D83" s="13">
        <v>1</v>
      </c>
      <c r="E83" s="14">
        <f t="shared" ref="E83:E114" si="9">((1-EXP(-lambda*$B83))/(lambda*$B83))</f>
        <v>0.13929773698185358</v>
      </c>
      <c r="F83" s="14">
        <f t="shared" ref="F83:F114" si="10">((1-EXP(-lambda*$B83))/(lambda*$B83)-EXP(-lambda*$B83))</f>
        <v>0.1385309972907611</v>
      </c>
    </row>
    <row r="84" spans="2:6" x14ac:dyDescent="0.2">
      <c r="B84" s="15">
        <v>16.25</v>
      </c>
      <c r="C84" s="7">
        <f t="shared" si="8"/>
        <v>4.4510039590497525</v>
      </c>
      <c r="D84" s="13">
        <v>1</v>
      </c>
      <c r="E84" s="14">
        <f t="shared" si="9"/>
        <v>0.13716585382126983</v>
      </c>
      <c r="F84" s="14">
        <f t="shared" si="10"/>
        <v>0.13648041204587857</v>
      </c>
    </row>
    <row r="85" spans="2:6" x14ac:dyDescent="0.2">
      <c r="B85" s="15">
        <v>16.5</v>
      </c>
      <c r="C85" s="7">
        <f t="shared" si="8"/>
        <v>4.4592748105979183</v>
      </c>
      <c r="D85" s="13">
        <v>1</v>
      </c>
      <c r="E85" s="14">
        <f t="shared" si="9"/>
        <v>0.13509740791733232</v>
      </c>
      <c r="F85" s="14">
        <f t="shared" si="10"/>
        <v>0.13448464398596199</v>
      </c>
    </row>
    <row r="86" spans="2:6" x14ac:dyDescent="0.2">
      <c r="B86" s="15">
        <v>16.75</v>
      </c>
      <c r="C86" s="7">
        <f t="shared" si="8"/>
        <v>4.4673202579276241</v>
      </c>
      <c r="D86" s="13">
        <v>1</v>
      </c>
      <c r="E86" s="14">
        <f t="shared" si="9"/>
        <v>0.13308968050542327</v>
      </c>
      <c r="F86" s="14">
        <f t="shared" si="10"/>
        <v>0.13254188833828537</v>
      </c>
    </row>
    <row r="87" spans="2:6" x14ac:dyDescent="0.2">
      <c r="B87" s="15">
        <v>17</v>
      </c>
      <c r="C87" s="7">
        <f t="shared" si="8"/>
        <v>4.475148316608573</v>
      </c>
      <c r="D87" s="13">
        <v>1</v>
      </c>
      <c r="E87" s="14">
        <f t="shared" si="9"/>
        <v>0.13114010003308896</v>
      </c>
      <c r="F87" s="14">
        <f t="shared" si="10"/>
        <v>0.13065039063112305</v>
      </c>
    </row>
    <row r="88" spans="2:6" x14ac:dyDescent="0.2">
      <c r="B88" s="15">
        <v>17.25</v>
      </c>
      <c r="C88" s="7">
        <f t="shared" si="8"/>
        <v>4.482766706057709</v>
      </c>
      <c r="D88" s="13">
        <v>1</v>
      </c>
      <c r="E88" s="14">
        <f t="shared" si="9"/>
        <v>0.12924623282114989</v>
      </c>
      <c r="F88" s="14">
        <f t="shared" si="10"/>
        <v>0.12880844763041452</v>
      </c>
    </row>
    <row r="89" spans="2:6" x14ac:dyDescent="0.2">
      <c r="B89" s="15">
        <v>17.5</v>
      </c>
      <c r="C89" s="7">
        <f t="shared" si="8"/>
        <v>4.4901828565316126</v>
      </c>
      <c r="D89" s="13">
        <v>1</v>
      </c>
      <c r="E89" s="14">
        <f t="shared" si="9"/>
        <v>0.12740577438642139</v>
      </c>
      <c r="F89" s="14">
        <f t="shared" si="10"/>
        <v>0.12701440784851581</v>
      </c>
    </row>
    <row r="90" spans="2:6" x14ac:dyDescent="0.2">
      <c r="B90" s="15">
        <v>17.75</v>
      </c>
      <c r="C90" s="7">
        <f t="shared" si="8"/>
        <v>4.4974039166475919</v>
      </c>
      <c r="D90" s="13">
        <v>1</v>
      </c>
      <c r="E90" s="14">
        <f t="shared" si="9"/>
        <v>0.12561654137533212</v>
      </c>
      <c r="F90" s="14">
        <f t="shared" si="10"/>
        <v>0.12526667168984801</v>
      </c>
    </row>
    <row r="91" spans="2:6" x14ac:dyDescent="0.2">
      <c r="B91" s="15">
        <v>18</v>
      </c>
      <c r="C91" s="7">
        <f t="shared" si="8"/>
        <v>4.5044367613027045</v>
      </c>
      <c r="D91" s="13">
        <v>1</v>
      </c>
      <c r="E91" s="14">
        <f t="shared" si="9"/>
        <v>0.1238764640618443</v>
      </c>
      <c r="F91" s="14">
        <f t="shared" si="10"/>
        <v>0.12356369129012028</v>
      </c>
    </row>
    <row r="92" spans="2:6" x14ac:dyDescent="0.2">
      <c r="B92" s="15">
        <v>18.25</v>
      </c>
      <c r="C92" s="7">
        <f t="shared" si="8"/>
        <v>4.5112879998786637</v>
      </c>
      <c r="D92" s="13">
        <v>1</v>
      </c>
      <c r="E92" s="14">
        <f t="shared" si="9"/>
        <v>0.122183579366849</v>
      </c>
      <c r="F92" s="14">
        <f t="shared" si="10"/>
        <v>0.12190397009862514</v>
      </c>
    </row>
    <row r="93" spans="2:6" x14ac:dyDescent="0.2">
      <c r="B93" s="15">
        <v>18.5</v>
      </c>
      <c r="C93" s="7">
        <f t="shared" si="8"/>
        <v>4.5179639846369515</v>
      </c>
      <c r="D93" s="13">
        <v>1</v>
      </c>
      <c r="E93" s="14">
        <f t="shared" si="9"/>
        <v>0.12053602435965785</v>
      </c>
      <c r="F93" s="14">
        <f t="shared" si="10"/>
        <v>0.12028606224676119</v>
      </c>
    </row>
    <row r="94" spans="2:6" x14ac:dyDescent="0.2">
      <c r="B94" s="15">
        <v>18.75</v>
      </c>
      <c r="C94" s="7">
        <f t="shared" si="8"/>
        <v>4.5244708192227296</v>
      </c>
      <c r="D94" s="13">
        <v>1</v>
      </c>
      <c r="E94" s="14">
        <f t="shared" si="9"/>
        <v>0.11893203020537324</v>
      </c>
      <c r="F94" s="14">
        <f t="shared" si="10"/>
        <v>0.11870857174034932</v>
      </c>
    </row>
    <row r="95" spans="2:6" x14ac:dyDescent="0.2">
      <c r="B95" s="15">
        <v>19</v>
      </c>
      <c r="C95" s="7">
        <f t="shared" si="8"/>
        <v>4.5308143672087393</v>
      </c>
      <c r="D95" s="13">
        <v>1</v>
      </c>
      <c r="E95" s="14">
        <f t="shared" si="9"/>
        <v>0.11736991652481228</v>
      </c>
      <c r="F95" s="14">
        <f t="shared" si="10"/>
        <v>0.11717015150837762</v>
      </c>
    </row>
    <row r="96" spans="2:6" x14ac:dyDescent="0.2">
      <c r="B96" s="15">
        <v>19.25</v>
      </c>
      <c r="C96" s="7">
        <f t="shared" si="8"/>
        <v>4.5370002606212081</v>
      </c>
      <c r="D96" s="13">
        <v>1</v>
      </c>
      <c r="E96" s="14">
        <f t="shared" si="9"/>
        <v>0.11584808613631185</v>
      </c>
      <c r="F96" s="14">
        <f t="shared" si="10"/>
        <v>0.11566950233646847</v>
      </c>
    </row>
    <row r="97" spans="2:6" x14ac:dyDescent="0.2">
      <c r="B97" s="15">
        <v>19.5</v>
      </c>
      <c r="C97" s="7">
        <f t="shared" si="8"/>
        <v>4.5430339083993836</v>
      </c>
      <c r="D97" s="13">
        <v>1</v>
      </c>
      <c r="E97" s="14">
        <f t="shared" si="9"/>
        <v>0.11436502015117345</v>
      </c>
      <c r="F97" s="14">
        <f t="shared" si="10"/>
        <v>0.11420537170954087</v>
      </c>
    </row>
    <row r="98" spans="2:6" x14ac:dyDescent="0.2">
      <c r="B98" s="15">
        <v>19.75</v>
      </c>
      <c r="C98" s="7">
        <f t="shared" si="8"/>
        <v>4.5489205047485344</v>
      </c>
      <c r="D98" s="13">
        <v>1</v>
      </c>
      <c r="E98" s="14">
        <f t="shared" si="9"/>
        <v>0.11291927339673415</v>
      </c>
      <c r="F98" s="14">
        <f t="shared" si="10"/>
        <v>0.11277655258477884</v>
      </c>
    </row>
    <row r="99" spans="2:6" x14ac:dyDescent="0.2">
      <c r="B99" s="15">
        <v>20</v>
      </c>
      <c r="C99" s="7">
        <f t="shared" si="8"/>
        <v>4.5546650373534794</v>
      </c>
      <c r="D99" s="13">
        <v>1</v>
      </c>
      <c r="E99" s="14">
        <f t="shared" si="9"/>
        <v>0.11150947014309499</v>
      </c>
      <c r="F99" s="14">
        <f t="shared" si="10"/>
        <v>0.11138188211306548</v>
      </c>
    </row>
    <row r="100" spans="2:6" x14ac:dyDescent="0.2">
      <c r="B100" s="15">
        <v>20.25</v>
      </c>
      <c r="C100" s="7">
        <f t="shared" si="8"/>
        <v>4.5602722954259249</v>
      </c>
      <c r="D100" s="13">
        <v>1</v>
      </c>
      <c r="E100" s="14">
        <f t="shared" si="9"/>
        <v>0.11013430011141322</v>
      </c>
      <c r="F100" s="14">
        <f t="shared" si="10"/>
        <v>0.11002024032445019</v>
      </c>
    </row>
    <row r="101" spans="2:6" x14ac:dyDescent="0.2">
      <c r="B101" s="15">
        <v>20.5</v>
      </c>
      <c r="C101" s="7">
        <f t="shared" si="8"/>
        <v>4.5657468775642815</v>
      </c>
      <c r="D101" s="13">
        <v>1</v>
      </c>
      <c r="E101" s="14">
        <f t="shared" si="9"/>
        <v>0.10879251474338504</v>
      </c>
      <c r="F101" s="14">
        <f t="shared" si="10"/>
        <v>0.10869054879094389</v>
      </c>
    </row>
    <row r="102" spans="2:6" x14ac:dyDescent="0.2">
      <c r="B102" s="15">
        <v>20.75</v>
      </c>
      <c r="C102" s="7">
        <f t="shared" si="8"/>
        <v>4.5710931994092743</v>
      </c>
      <c r="D102" s="13">
        <v>1</v>
      </c>
      <c r="E102" s="14">
        <f t="shared" si="9"/>
        <v>0.10748292371312682</v>
      </c>
      <c r="F102" s="14">
        <f t="shared" si="10"/>
        <v>0.10739176927794798</v>
      </c>
    </row>
    <row r="103" spans="2:6" x14ac:dyDescent="0.2">
      <c r="B103" s="15">
        <v>21</v>
      </c>
      <c r="C103" s="7">
        <f t="shared" si="8"/>
        <v>4.5763155010826457</v>
      </c>
      <c r="D103" s="13">
        <v>1</v>
      </c>
      <c r="E103" s="14">
        <f t="shared" si="9"/>
        <v>0.10620439166411222</v>
      </c>
      <c r="F103" s="14">
        <f t="shared" si="10"/>
        <v>0.10612290239388188</v>
      </c>
    </row>
    <row r="104" spans="2:6" x14ac:dyDescent="0.2">
      <c r="B104" s="15">
        <v>21.25</v>
      </c>
      <c r="C104" s="7">
        <f t="shared" si="8"/>
        <v>4.5814178543997119</v>
      </c>
      <c r="D104" s="13">
        <v>1</v>
      </c>
      <c r="E104" s="14">
        <f t="shared" si="9"/>
        <v>0.10495583515515619</v>
      </c>
      <c r="F104" s="14">
        <f t="shared" si="10"/>
        <v>0.10488298624605324</v>
      </c>
    </row>
    <row r="105" spans="2:6" x14ac:dyDescent="0.2">
      <c r="B105" s="15">
        <v>21.5</v>
      </c>
      <c r="C105" s="7">
        <f t="shared" si="8"/>
        <v>4.5864041698493905</v>
      </c>
      <c r="D105" s="13">
        <v>1</v>
      </c>
      <c r="E105" s="14">
        <f t="shared" si="9"/>
        <v>0.10373621980066131</v>
      </c>
      <c r="F105" s="14">
        <f t="shared" si="10"/>
        <v>0.10367109510949044</v>
      </c>
    </row>
    <row r="106" spans="2:6" x14ac:dyDescent="0.2">
      <c r="B106" s="15">
        <v>21.75</v>
      </c>
      <c r="C106" s="7">
        <f t="shared" si="8"/>
        <v>4.5912782033378869</v>
      </c>
      <c r="D106" s="13">
        <v>1</v>
      </c>
      <c r="E106" s="14">
        <f t="shared" si="9"/>
        <v>0.10254455759146731</v>
      </c>
      <c r="F106" s="14">
        <f t="shared" si="10"/>
        <v>0.10248633811430113</v>
      </c>
    </row>
    <row r="107" spans="2:6" x14ac:dyDescent="0.2">
      <c r="B107" s="15">
        <v>22</v>
      </c>
      <c r="C107" s="7">
        <f t="shared" si="8"/>
        <v>4.5960435626942679</v>
      </c>
      <c r="D107" s="13">
        <v>1</v>
      </c>
      <c r="E107" s="14">
        <f t="shared" si="9"/>
        <v>0.10137990438368012</v>
      </c>
      <c r="F107" s="14">
        <f t="shared" si="10"/>
        <v>0.1013278579561184</v>
      </c>
    </row>
    <row r="108" spans="2:6" x14ac:dyDescent="0.2">
      <c r="B108" s="15">
        <v>22.25</v>
      </c>
      <c r="C108" s="7">
        <f t="shared" si="8"/>
        <v>4.6007037139379507</v>
      </c>
      <c r="D108" s="13">
        <v>1</v>
      </c>
      <c r="E108" s="14">
        <f t="shared" si="9"/>
        <v>0.1002413575438086</v>
      </c>
      <c r="F108" s="14">
        <f t="shared" si="10"/>
        <v>0.1001948296333259</v>
      </c>
    </row>
    <row r="109" spans="2:6" x14ac:dyDescent="0.2">
      <c r="B109" s="15">
        <v>22.5</v>
      </c>
      <c r="C109" s="7">
        <f t="shared" si="8"/>
        <v>4.6052619873096292</v>
      </c>
      <c r="D109" s="13">
        <v>1</v>
      </c>
      <c r="E109" s="14">
        <f t="shared" si="9"/>
        <v>9.9128053739413108E-2</v>
      </c>
      <c r="F109" s="14">
        <f t="shared" si="10"/>
        <v>9.9086459213999847E-2</v>
      </c>
    </row>
    <row r="110" spans="2:6" x14ac:dyDescent="0.2">
      <c r="B110" s="15">
        <v>22.75</v>
      </c>
      <c r="C110" s="7">
        <f t="shared" si="8"/>
        <v>4.6097215830683567</v>
      </c>
      <c r="D110" s="13">
        <v>1</v>
      </c>
      <c r="E110" s="14">
        <f t="shared" si="9"/>
        <v>9.8039166865276556E-2</v>
      </c>
      <c r="F110" s="14">
        <f t="shared" si="10"/>
        <v>9.800198263485646E-2</v>
      </c>
    </row>
    <row r="111" spans="2:6" x14ac:dyDescent="0.2">
      <c r="B111" s="15">
        <v>23</v>
      </c>
      <c r="C111" s="7">
        <f t="shared" si="8"/>
        <v>4.6140855770585469</v>
      </c>
      <c r="D111" s="13">
        <v>1</v>
      </c>
      <c r="E111" s="14">
        <f t="shared" si="9"/>
        <v>9.697390609585077E-2</v>
      </c>
      <c r="F111" s="14">
        <f t="shared" si="10"/>
        <v>9.6940664533933713E-2</v>
      </c>
    </row>
    <row r="112" spans="2:6" x14ac:dyDescent="0.2">
      <c r="B112" s="15">
        <v>23.25</v>
      </c>
      <c r="C112" s="7">
        <f t="shared" si="8"/>
        <v>4.618356926051467</v>
      </c>
      <c r="D112" s="13">
        <v>1</v>
      </c>
      <c r="E112" s="14">
        <f t="shared" si="9"/>
        <v>9.5931514055414946E-2</v>
      </c>
      <c r="F112" s="14">
        <f t="shared" si="10"/>
        <v>9.5901797118256346E-2</v>
      </c>
    </row>
    <row r="113" spans="2:6" x14ac:dyDescent="0.2">
      <c r="B113" s="15">
        <v>23.5</v>
      </c>
      <c r="C113" s="7">
        <f t="shared" si="8"/>
        <v>4.6225384728664389</v>
      </c>
      <c r="D113" s="13">
        <v>1</v>
      </c>
      <c r="E113" s="14">
        <f t="shared" si="9"/>
        <v>9.491126509801287E-2</v>
      </c>
      <c r="F113" s="14">
        <f t="shared" si="10"/>
        <v>9.4884699067322373E-2</v>
      </c>
    </row>
    <row r="114" spans="2:6" x14ac:dyDescent="0.2">
      <c r="B114" s="15">
        <v>23.75</v>
      </c>
      <c r="C114" s="7">
        <f t="shared" si="8"/>
        <v>4.6266329512774957</v>
      </c>
      <c r="D114" s="13">
        <v>1</v>
      </c>
      <c r="E114" s="14">
        <f t="shared" si="9"/>
        <v>9.3912463689816705E-2</v>
      </c>
      <c r="F114" s="14">
        <f t="shared" si="10"/>
        <v>9.3888714472901064E-2</v>
      </c>
    </row>
    <row r="115" spans="2:6" x14ac:dyDescent="0.2">
      <c r="B115" s="15">
        <v>24</v>
      </c>
      <c r="C115" s="7">
        <f t="shared" ref="C115:C139" si="11">beta_0*D115+beta_1*E115+beta_2*F115</f>
        <v>4.6306429907116406</v>
      </c>
      <c r="D115" s="13">
        <v>1</v>
      </c>
      <c r="E115" s="14">
        <f t="shared" ref="E115:E139" si="12">((1-EXP(-lambda*$B115))/(lambda*$B115))</f>
        <v>9.2934442887099775E-2</v>
      </c>
      <c r="F115" s="14">
        <f t="shared" ref="F115:F139" si="13">((1-EXP(-lambda*$B115))/(lambda*$B115)-EXP(-lambda*$B115))</f>
        <v>9.2913211815334573E-2</v>
      </c>
    </row>
    <row r="116" spans="2:6" x14ac:dyDescent="0.2">
      <c r="B116" s="15">
        <v>24.25</v>
      </c>
      <c r="C116" s="7">
        <f t="shared" si="11"/>
        <v>4.6345711207451279</v>
      </c>
      <c r="D116" s="13">
        <v>1</v>
      </c>
      <c r="E116" s="14">
        <f t="shared" si="12"/>
        <v>9.1976562903495485E-2</v>
      </c>
      <c r="F116" s="14">
        <f t="shared" si="13"/>
        <v>9.1957582976287769E-2</v>
      </c>
    </row>
    <row r="117" spans="2:6" x14ac:dyDescent="0.2">
      <c r="B117" s="15">
        <v>24.5</v>
      </c>
      <c r="C117" s="7">
        <f t="shared" si="11"/>
        <v>4.6384197754043885</v>
      </c>
      <c r="D117" s="13">
        <v>1</v>
      </c>
      <c r="E117" s="14">
        <f t="shared" si="12"/>
        <v>9.1038209760674865E-2</v>
      </c>
      <c r="F117" s="14">
        <f t="shared" si="13"/>
        <v>9.1021242287680854E-2</v>
      </c>
    </row>
    <row r="118" spans="2:6" x14ac:dyDescent="0.2">
      <c r="B118" s="15">
        <v>24.75</v>
      </c>
      <c r="C118" s="7">
        <f t="shared" si="11"/>
        <v>4.6421912972783668</v>
      </c>
      <c r="D118" s="13">
        <v>1</v>
      </c>
      <c r="E118" s="14">
        <f t="shared" si="12"/>
        <v>9.0118794016995574E-2</v>
      </c>
      <c r="F118" s="14">
        <f t="shared" si="13"/>
        <v>9.0103625616366215E-2</v>
      </c>
    </row>
    <row r="119" spans="2:6" x14ac:dyDescent="0.2">
      <c r="B119" s="15">
        <v>25</v>
      </c>
      <c r="C119" s="7">
        <f t="shared" si="11"/>
        <v>4.6458879414490699</v>
      </c>
      <c r="D119" s="13">
        <v>1</v>
      </c>
      <c r="E119" s="14">
        <f t="shared" si="12"/>
        <v>8.921774956906392E-2</v>
      </c>
      <c r="F119" s="14">
        <f t="shared" si="13"/>
        <v>8.9204189483968521E-2</v>
      </c>
    </row>
    <row r="120" spans="2:6" x14ac:dyDescent="0.2">
      <c r="B120" s="15">
        <v>25.25</v>
      </c>
      <c r="C120" s="7">
        <f t="shared" si="11"/>
        <v>4.6495118792471644</v>
      </c>
      <c r="D120" s="13">
        <v>1</v>
      </c>
      <c r="E120" s="14">
        <f t="shared" si="12"/>
        <v>8.8334532521510356E-2</v>
      </c>
      <c r="F120" s="14">
        <f t="shared" si="13"/>
        <v>8.8322410221190931E-2</v>
      </c>
    </row>
    <row r="121" spans="2:6" x14ac:dyDescent="0.2">
      <c r="B121" s="15">
        <v>25.5</v>
      </c>
      <c r="C121" s="7">
        <f t="shared" si="11"/>
        <v>4.653065201839393</v>
      </c>
      <c r="D121" s="13">
        <v>1</v>
      </c>
      <c r="E121" s="14">
        <f t="shared" si="12"/>
        <v>8.7468620120609644E-2</v>
      </c>
      <c r="F121" s="14">
        <f t="shared" si="13"/>
        <v>8.7457783155797067E-2</v>
      </c>
    </row>
    <row r="122" spans="2:6" x14ac:dyDescent="0.2">
      <c r="B122" s="15">
        <v>25.75</v>
      </c>
      <c r="C122" s="7">
        <f t="shared" si="11"/>
        <v>4.65654992365452</v>
      </c>
      <c r="D122" s="13">
        <v>1</v>
      </c>
      <c r="E122" s="14">
        <f t="shared" si="12"/>
        <v>8.6619509747684273E-2</v>
      </c>
      <c r="F122" s="14">
        <f t="shared" si="13"/>
        <v>8.6609821833406098E-2</v>
      </c>
    </row>
    <row r="123" spans="2:6" x14ac:dyDescent="0.2">
      <c r="B123" s="15">
        <v>26</v>
      </c>
      <c r="C123" s="7">
        <f t="shared" si="11"/>
        <v>4.6599679856544229</v>
      </c>
      <c r="D123" s="13">
        <v>1</v>
      </c>
      <c r="E123" s="14">
        <f t="shared" si="12"/>
        <v>8.5786717968512213E-2</v>
      </c>
      <c r="F123" s="14">
        <f t="shared" si="13"/>
        <v>8.5778057270181576E-2</v>
      </c>
    </row>
    <row r="124" spans="2:6" x14ac:dyDescent="0.2">
      <c r="B124" s="15">
        <v>26.25</v>
      </c>
      <c r="C124" s="7">
        <f t="shared" si="11"/>
        <v>4.6633212584567731</v>
      </c>
      <c r="D124" s="13">
        <v>1</v>
      </c>
      <c r="E124" s="14">
        <f t="shared" si="12"/>
        <v>8.4969779635222911E-2</v>
      </c>
      <c r="F124" s="14">
        <f t="shared" si="13"/>
        <v>8.4962037236454666E-2</v>
      </c>
    </row>
    <row r="125" spans="2:6" x14ac:dyDescent="0.2">
      <c r="B125" s="15">
        <v>26.5</v>
      </c>
      <c r="C125" s="7">
        <f t="shared" si="11"/>
        <v>4.6666115453156625</v>
      </c>
      <c r="D125" s="13">
        <v>1</v>
      </c>
      <c r="E125" s="14">
        <f t="shared" si="12"/>
        <v>8.4168247037407454E-2</v>
      </c>
      <c r="F125" s="14">
        <f t="shared" si="13"/>
        <v>8.4161325570292683E-2</v>
      </c>
    </row>
    <row r="126" spans="2:6" x14ac:dyDescent="0.2">
      <c r="B126" s="15">
        <v>26.75</v>
      </c>
      <c r="C126" s="7">
        <f t="shared" si="11"/>
        <v>4.669840584966293</v>
      </c>
      <c r="D126" s="13">
        <v>1</v>
      </c>
      <c r="E126" s="14">
        <f t="shared" si="12"/>
        <v>8.3381689099393766E-2</v>
      </c>
      <c r="F126" s="14">
        <f t="shared" si="13"/>
        <v>8.3375501520007209E-2</v>
      </c>
    </row>
    <row r="127" spans="2:6" x14ac:dyDescent="0.2">
      <c r="B127" s="15">
        <v>27</v>
      </c>
      <c r="C127" s="7">
        <f t="shared" si="11"/>
        <v>4.6730100543397288</v>
      </c>
      <c r="D127" s="13">
        <v>1</v>
      </c>
      <c r="E127" s="14">
        <f t="shared" si="12"/>
        <v>8.2609690620845444E-2</v>
      </c>
      <c r="F127" s="14">
        <f t="shared" si="13"/>
        <v>8.2604159114586712E-2</v>
      </c>
    </row>
    <row r="128" spans="2:6" x14ac:dyDescent="0.2">
      <c r="B128" s="15">
        <v>27.25</v>
      </c>
      <c r="C128" s="7">
        <f t="shared" si="11"/>
        <v>4.6761215711534962</v>
      </c>
      <c r="D128" s="13">
        <v>1</v>
      </c>
      <c r="E128" s="14">
        <f t="shared" si="12"/>
        <v>8.1851851558035774E-2</v>
      </c>
      <c r="F128" s="14">
        <f t="shared" si="13"/>
        <v>8.1846906561037935E-2</v>
      </c>
    </row>
    <row r="129" spans="2:6" x14ac:dyDescent="0.2">
      <c r="B129" s="15">
        <v>27.5</v>
      </c>
      <c r="C129" s="7">
        <f t="shared" si="11"/>
        <v>4.6791766963836068</v>
      </c>
      <c r="D129" s="13">
        <v>1</v>
      </c>
      <c r="E129" s="14">
        <f t="shared" si="12"/>
        <v>8.1107786343326799E-2</v>
      </c>
      <c r="F129" s="14">
        <f t="shared" si="13"/>
        <v>8.1103365667625674E-2</v>
      </c>
    </row>
    <row r="130" spans="2:6" x14ac:dyDescent="0.2">
      <c r="B130" s="15">
        <v>27.75</v>
      </c>
      <c r="C130" s="7">
        <f t="shared" si="11"/>
        <v>4.6821769366234331</v>
      </c>
      <c r="D130" s="13">
        <v>1</v>
      </c>
      <c r="E130" s="14">
        <f t="shared" si="12"/>
        <v>8.0377123240548853E-2</v>
      </c>
      <c r="F130" s="14">
        <f t="shared" si="13"/>
        <v>8.0373171292011145E-2</v>
      </c>
    </row>
    <row r="131" spans="2:6" x14ac:dyDescent="0.2">
      <c r="B131" s="15">
        <v>28</v>
      </c>
      <c r="C131" s="7">
        <f t="shared" si="11"/>
        <v>4.6851237463345869</v>
      </c>
      <c r="D131" s="13">
        <v>1</v>
      </c>
      <c r="E131" s="14">
        <f t="shared" si="12"/>
        <v>7.965950373413011E-2</v>
      </c>
      <c r="F131" s="14">
        <f t="shared" si="13"/>
        <v>7.9655970813305207E-2</v>
      </c>
    </row>
    <row r="132" spans="2:6" x14ac:dyDescent="0.2">
      <c r="B132" s="15">
        <v>28.25</v>
      </c>
      <c r="C132" s="7">
        <f t="shared" si="11"/>
        <v>4.6880185299948609</v>
      </c>
      <c r="D132" s="13">
        <v>1</v>
      </c>
      <c r="E132" s="14">
        <f t="shared" si="12"/>
        <v>7.8954581949967281E-2</v>
      </c>
      <c r="F132" s="14">
        <f t="shared" si="13"/>
        <v>7.8951423627070125E-2</v>
      </c>
    </row>
    <row r="133" spans="2:6" x14ac:dyDescent="0.2">
      <c r="B133" s="15">
        <v>28.5</v>
      </c>
      <c r="C133" s="7">
        <f t="shared" si="11"/>
        <v>4.6908626441479644</v>
      </c>
      <c r="D133" s="13">
        <v>1</v>
      </c>
      <c r="E133" s="14">
        <f t="shared" si="12"/>
        <v>7.8262024106161801E-2</v>
      </c>
      <c r="F133" s="14">
        <f t="shared" si="13"/>
        <v>7.8259200662326778E-2</v>
      </c>
    </row>
    <row r="134" spans="2:6" x14ac:dyDescent="0.2">
      <c r="B134" s="15">
        <v>28.75</v>
      </c>
      <c r="C134" s="7">
        <f t="shared" si="11"/>
        <v>4.6936573993597097</v>
      </c>
      <c r="D134" s="13">
        <v>1</v>
      </c>
      <c r="E134" s="14">
        <f t="shared" si="12"/>
        <v>7.7581507991868109E-2</v>
      </c>
      <c r="F134" s="14">
        <f t="shared" si="13"/>
        <v>7.757898391964714E-2</v>
      </c>
    </row>
    <row r="135" spans="2:6" x14ac:dyDescent="0.2">
      <c r="B135" s="15">
        <v>29</v>
      </c>
      <c r="C135" s="7">
        <f t="shared" si="11"/>
        <v>4.696404062085028</v>
      </c>
      <c r="D135" s="13">
        <v>1</v>
      </c>
      <c r="E135" s="14">
        <f t="shared" si="12"/>
        <v>7.6912722472614797E-2</v>
      </c>
      <c r="F135" s="14">
        <f t="shared" si="13"/>
        <v>7.691046602943799E-2</v>
      </c>
    </row>
    <row r="136" spans="2:6" x14ac:dyDescent="0.2">
      <c r="B136" s="15">
        <v>29.25</v>
      </c>
      <c r="C136" s="7">
        <f t="shared" si="11"/>
        <v>4.699103856450054</v>
      </c>
      <c r="D136" s="13">
        <v>1</v>
      </c>
      <c r="E136" s="14">
        <f t="shared" si="12"/>
        <v>7.625536702056572E-2</v>
      </c>
      <c r="F136" s="14">
        <f t="shared" si="13"/>
        <v>7.6253349829548803E-2</v>
      </c>
    </row>
    <row r="137" spans="2:6" x14ac:dyDescent="0.2">
      <c r="B137" s="15">
        <v>29.5</v>
      </c>
      <c r="C137" s="7">
        <f t="shared" si="11"/>
        <v>4.7017579659532975</v>
      </c>
      <c r="D137" s="13">
        <v>1</v>
      </c>
      <c r="E137" s="14">
        <f t="shared" si="12"/>
        <v>7.5609151268286712E-2</v>
      </c>
      <c r="F137" s="14">
        <f t="shared" si="13"/>
        <v>7.5607347961365215E-2</v>
      </c>
    </row>
    <row r="138" spans="2:6" x14ac:dyDescent="0.2">
      <c r="B138" s="15">
        <v>29.75</v>
      </c>
      <c r="C138" s="7">
        <f t="shared" si="11"/>
        <v>4.7043675350897658</v>
      </c>
      <c r="D138" s="13">
        <v>1</v>
      </c>
      <c r="E138" s="14">
        <f t="shared" si="12"/>
        <v>7.4973794584674736E-2</v>
      </c>
      <c r="F138" s="14">
        <f t="shared" si="13"/>
        <v>7.4972182483576788E-2</v>
      </c>
    </row>
    <row r="139" spans="2:6" x14ac:dyDescent="0.2">
      <c r="B139" s="15">
        <v>30</v>
      </c>
      <c r="C139" s="7">
        <f t="shared" si="11"/>
        <v>4.7069336709017309</v>
      </c>
      <c r="D139" s="13">
        <v>1</v>
      </c>
      <c r="E139" s="14">
        <f t="shared" si="12"/>
        <v>7.434902567179244E-2</v>
      </c>
      <c r="F139" s="14">
        <f t="shared" si="13"/>
        <v>7.4347584502838335E-2</v>
      </c>
    </row>
  </sheetData>
  <scenarios current="2" show="2">
    <scenario name="use_all"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all_except_20"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key"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 name="use_key_except_30"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s>
  <mergeCells count="1">
    <mergeCell ref="C3:C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1</xdr:col>
                    <xdr:colOff>101600</xdr:colOff>
                    <xdr:row>2</xdr:row>
                    <xdr:rowOff>76200</xdr:rowOff>
                  </from>
                  <to>
                    <xdr:col>1</xdr:col>
                    <xdr:colOff>787400</xdr:colOff>
                    <xdr:row>3</xdr:row>
                    <xdr:rowOff>114300</xdr:rowOff>
                  </to>
                </anchor>
              </controlPr>
            </control>
          </mc:Choice>
        </mc:AlternateContent>
        <mc:AlternateContent xmlns:mc="http://schemas.openxmlformats.org/markup-compatibility/2006">
          <mc:Choice Requires="x14">
            <control shapeId="3076" r:id="rId4" name="Drop Down 4">
              <controlPr defaultSize="0" autoLine="0" autoPict="0">
                <anchor moveWithCells="1">
                  <from>
                    <xdr:col>10</xdr:col>
                    <xdr:colOff>190500</xdr:colOff>
                    <xdr:row>3</xdr:row>
                    <xdr:rowOff>63500</xdr:rowOff>
                  </from>
                  <to>
                    <xdr:col>10</xdr:col>
                    <xdr:colOff>876300</xdr:colOff>
                    <xdr:row>4</xdr:row>
                    <xdr:rowOff>101600</xdr:rowOff>
                  </to>
                </anchor>
              </controlPr>
            </control>
          </mc:Choice>
        </mc:AlternateContent>
        <mc:AlternateContent xmlns:mc="http://schemas.openxmlformats.org/markup-compatibility/2006">
          <mc:Choice Requires="x14">
            <control shapeId="3078" r:id="rId5" name="Button 6">
              <controlPr defaultSize="0" print="0" autoFill="0" autoPict="0" macro="[0]!fit_curve" altText="fit curve">
                <anchor moveWithCells="1" sizeWithCells="1">
                  <from>
                    <xdr:col>15</xdr:col>
                    <xdr:colOff>63500</xdr:colOff>
                    <xdr:row>2</xdr:row>
                    <xdr:rowOff>63500</xdr:rowOff>
                  </from>
                  <to>
                    <xdr:col>15</xdr:col>
                    <xdr:colOff>762000</xdr:colOff>
                    <xdr:row>3</xdr:row>
                    <xdr:rowOff>139700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55E6071B-4000-5C41-AC63-3110824D179D}">
            <x14:iconSet showValue="0" custom="1">
              <x14:cfvo type="percent">
                <xm:f>0</xm:f>
              </x14:cfvo>
              <x14:cfvo type="percent">
                <xm:f>1</xm:f>
              </x14:cfvo>
              <x14:cfvo type="percent">
                <xm:f>1</xm:f>
              </x14:cfvo>
              <x14:cfIcon iconSet="NoIcons" iconId="0"/>
              <x14:cfIcon iconSet="3TrafficLights1" iconId="1"/>
              <x14:cfIcon iconSet="3TrafficLights1" iconId="2"/>
            </x14:iconSet>
          </x14:cfRule>
          <xm:sqref>F7:F15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D21C9-0F6F-BD4C-A0EE-F1EAFDCE4B1D}">
  <sheetPr codeName="Sheet1"/>
  <dimension ref="B2:D12"/>
  <sheetViews>
    <sheetView showGridLines="0" zoomScale="150" zoomScaleNormal="150" workbookViewId="0">
      <selection activeCell="G8" sqref="G8"/>
    </sheetView>
  </sheetViews>
  <sheetFormatPr baseColWidth="10" defaultRowHeight="15" x14ac:dyDescent="0.2"/>
  <cols>
    <col min="1" max="16384" width="10.83203125" style="1"/>
  </cols>
  <sheetData>
    <row r="2" spans="2:4" x14ac:dyDescent="0.2">
      <c r="C2" s="29" t="s">
        <v>50</v>
      </c>
      <c r="D2" s="29" t="s">
        <v>51</v>
      </c>
    </row>
    <row r="3" spans="2:4" x14ac:dyDescent="0.2">
      <c r="B3" s="28" t="s">
        <v>43</v>
      </c>
      <c r="C3" s="30">
        <v>3.5999999999999997E-2</v>
      </c>
      <c r="D3" s="30">
        <v>3.5999999999999997E-2</v>
      </c>
    </row>
    <row r="4" spans="2:4" x14ac:dyDescent="0.2">
      <c r="B4" s="28" t="s">
        <v>44</v>
      </c>
      <c r="C4" s="30">
        <v>3.5999999999999997E-2</v>
      </c>
    </row>
    <row r="5" spans="2:4" x14ac:dyDescent="0.2">
      <c r="B5" s="28" t="s">
        <v>47</v>
      </c>
      <c r="C5" s="31">
        <v>2</v>
      </c>
    </row>
    <row r="6" spans="2:4" x14ac:dyDescent="0.2">
      <c r="B6" s="28" t="s">
        <v>48</v>
      </c>
      <c r="C6" s="32">
        <f ca="1">TODAY()</f>
        <v>45938</v>
      </c>
    </row>
    <row r="7" spans="2:4" x14ac:dyDescent="0.2">
      <c r="B7" s="28" t="s">
        <v>49</v>
      </c>
      <c r="C7" s="32">
        <f ca="1">C6+C5*365.25</f>
        <v>46668.5</v>
      </c>
    </row>
    <row r="8" spans="2:4" x14ac:dyDescent="0.2">
      <c r="B8" s="28" t="s">
        <v>45</v>
      </c>
      <c r="C8" s="7">
        <f ca="1">MDURATION(C6,C7,C4,C3,1)</f>
        <v>1.8969603911688855</v>
      </c>
    </row>
    <row r="9" spans="2:4" x14ac:dyDescent="0.2">
      <c r="B9" s="28" t="s">
        <v>46</v>
      </c>
      <c r="C9" s="7">
        <f ca="1">PRICE(C6,C7,C4,C3,100,1)</f>
        <v>100</v>
      </c>
      <c r="D9" s="7">
        <f ca="1">PRICE(C6,C7,C4,D3,100,1)</f>
        <v>100</v>
      </c>
    </row>
    <row r="11" spans="2:4" x14ac:dyDescent="0.2">
      <c r="C11" s="28" t="s">
        <v>52</v>
      </c>
      <c r="D11" s="26">
        <f ca="1">D9/C9-1</f>
        <v>0</v>
      </c>
    </row>
    <row r="12" spans="2:4" x14ac:dyDescent="0.2">
      <c r="C12" s="28" t="s">
        <v>53</v>
      </c>
      <c r="D12" s="26">
        <f ca="1">(D3-C3)*-C8</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I1:Y172"/>
  <sheetViews>
    <sheetView showGridLines="0" tabSelected="1" topLeftCell="B34" zoomScale="158" zoomScaleNormal="158" workbookViewId="0">
      <selection activeCell="Q41" sqref="Q41:Q53"/>
    </sheetView>
  </sheetViews>
  <sheetFormatPr baseColWidth="10" defaultColWidth="10.83203125" defaultRowHeight="15" x14ac:dyDescent="0.2"/>
  <cols>
    <col min="1" max="1" width="10.83203125" style="1"/>
    <col min="2" max="2" width="12.6640625" style="1" bestFit="1" customWidth="1"/>
    <col min="3" max="5" width="10.83203125" style="1"/>
    <col min="6" max="6" width="11.83203125" style="1" bestFit="1" customWidth="1"/>
    <col min="7" max="8" width="10.83203125" style="1"/>
    <col min="9" max="9" width="4" style="1" customWidth="1"/>
    <col min="10" max="10" width="12.5" style="1" customWidth="1"/>
    <col min="11" max="12" width="10.83203125" style="1"/>
    <col min="13" max="15" width="11.5"/>
    <col min="16" max="17" width="10.83203125" style="1"/>
    <col min="18" max="18" width="3.5" style="1" customWidth="1"/>
    <col min="19" max="19" width="10.83203125" style="1"/>
    <col min="20" max="20" width="3.83203125" style="1" customWidth="1"/>
    <col min="21" max="21" width="10.83203125" style="1"/>
    <col min="22" max="25" width="11.5" customWidth="1"/>
    <col min="26" max="16384" width="10.83203125" style="1"/>
  </cols>
  <sheetData>
    <row r="1" spans="10:25" x14ac:dyDescent="0.2">
      <c r="M1" s="1"/>
      <c r="N1" s="1"/>
      <c r="O1" s="1"/>
      <c r="V1" s="1"/>
      <c r="W1" s="1"/>
      <c r="X1" s="1"/>
      <c r="Y1" s="1"/>
    </row>
    <row r="2" spans="10:25" x14ac:dyDescent="0.2">
      <c r="M2" s="1"/>
      <c r="N2" s="1"/>
      <c r="O2" s="1"/>
      <c r="V2" s="1"/>
      <c r="W2" s="1"/>
      <c r="X2" s="1"/>
      <c r="Y2" s="1"/>
    </row>
    <row r="3" spans="10:25" x14ac:dyDescent="0.2">
      <c r="J3" s="23"/>
      <c r="K3" s="23" t="s">
        <v>33</v>
      </c>
      <c r="L3" s="23" t="s">
        <v>34</v>
      </c>
      <c r="M3" s="23" t="s">
        <v>3</v>
      </c>
      <c r="N3" s="23" t="s">
        <v>33</v>
      </c>
      <c r="O3" s="23" t="s">
        <v>34</v>
      </c>
      <c r="P3" s="23" t="s">
        <v>37</v>
      </c>
      <c r="Q3" s="23" t="s">
        <v>36</v>
      </c>
      <c r="V3" s="1"/>
      <c r="W3" s="1"/>
      <c r="X3" s="1"/>
      <c r="Y3" s="1"/>
    </row>
    <row r="4" spans="10:25" x14ac:dyDescent="0.2">
      <c r="J4" s="9" t="s">
        <v>5</v>
      </c>
      <c r="K4" s="12">
        <f>beta_0</f>
        <v>5.0123690548042292</v>
      </c>
      <c r="L4" s="12">
        <v>4.4698961207686585</v>
      </c>
      <c r="M4" s="9">
        <v>0.25</v>
      </c>
      <c r="N4" s="7">
        <f>beta_0+beta_1*((1-EXP(-lambda*M4))/(lambda*M4))+beta_2*((1-EXP(-lambda*M4))/(lambda*M4)-EXP(-lambda*M4))</f>
        <v>3.914750586768164</v>
      </c>
      <c r="O4" s="33">
        <v>3.35</v>
      </c>
      <c r="P4" s="7">
        <f>beta_0_scen+beta_1_scen*((1-EXP(-lambda*M4))/(lambda*M4))+beta_2_scen*((1-EXP(-lambda*M4))/(lambda*M4)-EXP(-lambda*M4))</f>
        <v>3.3709267396202143</v>
      </c>
      <c r="Q4" s="7">
        <f>P4-O4</f>
        <v>2.0926739620214185E-2</v>
      </c>
      <c r="V4" s="1"/>
      <c r="W4" s="1"/>
      <c r="X4" s="1"/>
      <c r="Y4" s="1"/>
    </row>
    <row r="5" spans="10:25" x14ac:dyDescent="0.2">
      <c r="J5" s="9" t="s">
        <v>6</v>
      </c>
      <c r="K5" s="12">
        <f>beta_1</f>
        <v>-0.98872427248237305</v>
      </c>
      <c r="L5" s="12">
        <v>-1.0937973230865132</v>
      </c>
      <c r="M5" s="9">
        <v>2</v>
      </c>
      <c r="N5" s="7">
        <f>beta_0+beta_1*((1-EXP(-lambda*M5))/(lambda*M5))+beta_2*((1-EXP(-lambda*M5))/(lambda*M5)-EXP(-lambda*M5))</f>
        <v>3.572228062873235</v>
      </c>
      <c r="O5" s="33">
        <v>3.5</v>
      </c>
      <c r="P5" s="7">
        <f>beta_0_scen+beta_1_scen*((1-EXP(-lambda*M5))/(lambda*M5))+beta_2_scen*((1-EXP(-lambda*M5))/(lambda*M5)-EXP(-lambda*M5))</f>
        <v>3.4360105870767588</v>
      </c>
      <c r="Q5" s="7">
        <f>P5-O5</f>
        <v>-6.3989412923241229E-2</v>
      </c>
      <c r="V5" s="1"/>
      <c r="W5" s="1"/>
      <c r="X5" s="1"/>
      <c r="Y5" s="1"/>
    </row>
    <row r="6" spans="10:25" x14ac:dyDescent="0.2">
      <c r="J6" s="9" t="s">
        <v>7</v>
      </c>
      <c r="K6" s="12">
        <f>beta_2</f>
        <v>-3.1194651330807934</v>
      </c>
      <c r="L6" s="12">
        <v>-1.2348465426950157</v>
      </c>
      <c r="M6" s="9">
        <v>5</v>
      </c>
      <c r="N6" s="7">
        <f>beta_0+beta_1*((1-EXP(-lambda*M6))/(lambda*M6))+beta_2*((1-EXP(-lambda*M6))/(lambda*M6)-EXP(-lambda*M6))</f>
        <v>3.7060382094651985</v>
      </c>
      <c r="O6" s="33">
        <v>3.6</v>
      </c>
      <c r="P6" s="7">
        <f>beta_0_scen+beta_1_scen*((1-EXP(-lambda*M6))/(lambda*M6))+beta_2_scen*((1-EXP(-lambda*M6))/(lambda*M6)-EXP(-lambda*M6))</f>
        <v>3.6727434499611196</v>
      </c>
      <c r="Q6" s="7">
        <f>P6-O6</f>
        <v>7.2743449961119477E-2</v>
      </c>
      <c r="S6" s="1" t="s">
        <v>35</v>
      </c>
      <c r="V6" s="1"/>
      <c r="W6" s="1"/>
      <c r="X6" s="1"/>
      <c r="Y6" s="1"/>
    </row>
    <row r="7" spans="10:25" x14ac:dyDescent="0.2">
      <c r="J7" s="9" t="s">
        <v>8</v>
      </c>
      <c r="K7" s="12">
        <f>lambda</f>
        <v>0.44833519999999999</v>
      </c>
      <c r="L7" s="6"/>
      <c r="M7" s="9">
        <v>10</v>
      </c>
      <c r="N7" s="7">
        <f>beta_0+beta_1*((1-EXP(-lambda*M7))/(lambda*M7))+beta_2*((1-EXP(-lambda*M7))/(lambda*M7)-EXP(-lambda*M7))</f>
        <v>4.1416342654544183</v>
      </c>
      <c r="O7" s="33">
        <v>4</v>
      </c>
      <c r="P7" s="7">
        <f>beta_0_scen+beta_1_scen*((1-EXP(-lambda*M7))/(lambda*M7))+beta_2_scen*((1-EXP(-lambda*M7))/(lambda*M7)-EXP(-lambda*M7))</f>
        <v>3.9703132107571824</v>
      </c>
      <c r="Q7" s="7">
        <f>P7-O7</f>
        <v>-2.9686789242817646E-2</v>
      </c>
      <c r="S7" s="2">
        <f>SUMSQ(Q4:Q8)</f>
        <v>1.0705488365186682E-2</v>
      </c>
      <c r="V7" s="1"/>
      <c r="W7" s="1"/>
      <c r="X7" s="1"/>
      <c r="Y7" s="1"/>
    </row>
    <row r="8" spans="10:25" x14ac:dyDescent="0.2">
      <c r="J8" s="9" t="s">
        <v>40</v>
      </c>
      <c r="K8" s="6">
        <f>hump_mat</f>
        <v>4</v>
      </c>
      <c r="L8" s="6"/>
      <c r="M8" s="6"/>
      <c r="N8" s="7"/>
      <c r="O8" s="6"/>
      <c r="P8" s="7"/>
      <c r="Q8" s="7"/>
      <c r="V8" s="1"/>
      <c r="W8" s="1"/>
      <c r="X8" s="1"/>
      <c r="Y8" s="1"/>
    </row>
    <row r="9" spans="10:25" x14ac:dyDescent="0.2">
      <c r="M9" s="1"/>
      <c r="N9" s="1"/>
      <c r="O9" s="1"/>
      <c r="V9" s="1"/>
      <c r="W9" s="1"/>
      <c r="X9" s="1"/>
      <c r="Y9" s="1"/>
    </row>
    <row r="10" spans="10:25" x14ac:dyDescent="0.2">
      <c r="M10" s="1"/>
      <c r="N10" s="1"/>
      <c r="O10" s="1"/>
      <c r="S10" s="1" t="s">
        <v>56</v>
      </c>
      <c r="V10" s="1"/>
      <c r="W10" s="1"/>
      <c r="X10" s="1"/>
      <c r="Y10" s="1"/>
    </row>
    <row r="11" spans="10:25" x14ac:dyDescent="0.2">
      <c r="J11" s="25" t="s">
        <v>38</v>
      </c>
      <c r="K11" s="5"/>
      <c r="L11" s="5"/>
      <c r="M11" s="5"/>
      <c r="N11" s="5"/>
      <c r="O11" s="5"/>
      <c r="P11" s="5"/>
      <c r="Q11" s="5"/>
      <c r="S11" s="31">
        <v>2</v>
      </c>
      <c r="V11" s="1"/>
      <c r="W11" s="1"/>
      <c r="X11" s="1"/>
      <c r="Y11" s="1"/>
    </row>
    <row r="12" spans="10:25" x14ac:dyDescent="0.2">
      <c r="J12" s="5" t="s">
        <v>25</v>
      </c>
      <c r="K12" s="5" t="s">
        <v>26</v>
      </c>
      <c r="L12" s="5" t="s">
        <v>31</v>
      </c>
      <c r="M12" s="5" t="s">
        <v>27</v>
      </c>
      <c r="N12" s="5" t="s">
        <v>28</v>
      </c>
      <c r="O12" s="5" t="s">
        <v>32</v>
      </c>
      <c r="P12" s="5" t="s">
        <v>29</v>
      </c>
      <c r="Q12" s="5" t="s">
        <v>30</v>
      </c>
      <c r="S12" s="1" t="s">
        <v>57</v>
      </c>
      <c r="V12" s="1"/>
      <c r="W12" s="1"/>
      <c r="X12" s="1"/>
      <c r="Y12" s="1"/>
    </row>
    <row r="13" spans="10:25" x14ac:dyDescent="0.2">
      <c r="J13" s="9">
        <v>0.25</v>
      </c>
      <c r="K13" s="7">
        <v>2.7000000000000001E-3</v>
      </c>
      <c r="L13" s="7">
        <f t="shared" ref="L13:L23" ca="1" si="0">IF(M13&gt;0,MDURATION(TODAY(), TODAY()+365.25*AVERAGE(J13:K13),M13%,M13%,1),J13)</f>
        <v>0.1202909108612312</v>
      </c>
      <c r="M13" s="7">
        <f t="shared" ref="M13:M23" si="1">beta_0+beta_1*((1-EXP(-lambda*J13))/(lambda*J13))+beta_2*((1-EXP(-lambda*J13))/(lambda*J13)-EXP(-lambda*J13))</f>
        <v>3.914750586768164</v>
      </c>
      <c r="N13" s="7">
        <f t="shared" ref="N13:N23" si="2">beta_0+beta_1*((1-EXP(-lambda*K13))/(lambda*K13))+beta_2*((1-EXP(-lambda*K13))/(lambda*K13)-EXP(-lambda*K13))</f>
        <v>4.0223564276355948</v>
      </c>
      <c r="O13" s="39">
        <f>M13%/12</f>
        <v>3.2622921556401366E-3</v>
      </c>
      <c r="P13" s="39">
        <f t="shared" ref="P13:P23" ca="1" si="3">(N13%-M13%)*-L13</f>
        <v>-1.2944004611931942E-4</v>
      </c>
      <c r="Q13" s="40">
        <f t="shared" ref="Q13:Q23" ca="1" si="4">O13+P13</f>
        <v>3.1328521095208171E-3</v>
      </c>
      <c r="S13" s="31">
        <v>10</v>
      </c>
      <c r="V13" s="1"/>
      <c r="W13" s="1"/>
      <c r="X13" s="1"/>
      <c r="Y13" s="1"/>
    </row>
    <row r="14" spans="10:25" x14ac:dyDescent="0.2">
      <c r="J14" s="9">
        <v>1</v>
      </c>
      <c r="K14" s="7">
        <v>2.7000000000000001E-3</v>
      </c>
      <c r="L14" s="7">
        <f t="shared" ca="1" si="0"/>
        <v>0.48486685506560029</v>
      </c>
      <c r="M14" s="7">
        <f t="shared" si="1"/>
        <v>3.6939878494590559</v>
      </c>
      <c r="N14" s="7">
        <f t="shared" si="2"/>
        <v>4.0223564276355948</v>
      </c>
      <c r="O14" s="39">
        <f t="shared" ref="O14:O23" si="5">M14%/12</f>
        <v>3.0783232078825467E-3</v>
      </c>
      <c r="P14" s="39">
        <f t="shared" ca="1" si="3"/>
        <v>-1.5921503980282118E-3</v>
      </c>
      <c r="Q14" s="40">
        <f t="shared" ca="1" si="4"/>
        <v>1.4861728098543349E-3</v>
      </c>
      <c r="V14" s="1"/>
      <c r="W14" s="1"/>
      <c r="X14" s="1"/>
      <c r="Y14" s="1"/>
    </row>
    <row r="15" spans="10:25" x14ac:dyDescent="0.2">
      <c r="J15" s="9">
        <v>2</v>
      </c>
      <c r="K15" s="7">
        <f t="shared" ref="K15:K22" si="6">J15-1</f>
        <v>1</v>
      </c>
      <c r="L15" s="7">
        <f t="shared" ca="1" si="0"/>
        <v>1.414964045670364</v>
      </c>
      <c r="M15" s="7">
        <f t="shared" si="1"/>
        <v>3.572228062873235</v>
      </c>
      <c r="N15" s="7">
        <f t="shared" si="2"/>
        <v>3.6939878494590559</v>
      </c>
      <c r="O15" s="39">
        <f t="shared" si="5"/>
        <v>2.9768567190610294E-3</v>
      </c>
      <c r="P15" s="39">
        <f t="shared" ca="1" si="3"/>
        <v>-1.7228572022743274E-3</v>
      </c>
      <c r="Q15" s="40">
        <f t="shared" ca="1" si="4"/>
        <v>1.253999516786702E-3</v>
      </c>
      <c r="V15" s="1"/>
      <c r="W15" s="1"/>
      <c r="X15" s="1"/>
      <c r="Y15" s="1"/>
    </row>
    <row r="16" spans="10:25" x14ac:dyDescent="0.2">
      <c r="J16" s="9">
        <v>3</v>
      </c>
      <c r="K16" s="7">
        <f t="shared" si="6"/>
        <v>2</v>
      </c>
      <c r="L16" s="7">
        <f t="shared" ca="1" si="0"/>
        <v>2.31530053451998</v>
      </c>
      <c r="M16" s="7">
        <f t="shared" si="1"/>
        <v>3.5664947005857495</v>
      </c>
      <c r="N16" s="7">
        <f t="shared" si="2"/>
        <v>3.572228062873235</v>
      </c>
      <c r="O16" s="39">
        <f t="shared" si="5"/>
        <v>2.9720789171547913E-3</v>
      </c>
      <c r="P16" s="39">
        <f t="shared" ca="1" si="3"/>
        <v>-1.3274456768812E-4</v>
      </c>
      <c r="Q16" s="40">
        <f t="shared" ca="1" si="4"/>
        <v>2.8393343494666715E-3</v>
      </c>
      <c r="V16" s="1"/>
      <c r="W16" s="1"/>
      <c r="X16" s="1"/>
      <c r="Y16" s="1"/>
    </row>
    <row r="17" spans="10:25" x14ac:dyDescent="0.2">
      <c r="J17" s="9">
        <v>4</v>
      </c>
      <c r="K17" s="7">
        <f t="shared" si="6"/>
        <v>3</v>
      </c>
      <c r="L17" s="7">
        <f t="shared" ca="1" si="0"/>
        <v>3.1799551339514833</v>
      </c>
      <c r="M17" s="7">
        <f t="shared" si="1"/>
        <v>3.6218531348191809</v>
      </c>
      <c r="N17" s="7">
        <f t="shared" si="2"/>
        <v>3.5664947005857495</v>
      </c>
      <c r="O17" s="39">
        <f t="shared" si="5"/>
        <v>3.0182109456826506E-3</v>
      </c>
      <c r="P17" s="39">
        <f t="shared" ca="1" si="3"/>
        <v>1.7603733714811431E-3</v>
      </c>
      <c r="Q17" s="40">
        <f t="shared" ca="1" si="4"/>
        <v>4.7785843171637941E-3</v>
      </c>
      <c r="V17" s="1"/>
      <c r="W17" s="1"/>
      <c r="X17" s="1"/>
      <c r="Y17" s="1"/>
    </row>
    <row r="18" spans="10:25" x14ac:dyDescent="0.2">
      <c r="J18" s="9">
        <v>5</v>
      </c>
      <c r="K18" s="7">
        <f t="shared" si="6"/>
        <v>4</v>
      </c>
      <c r="L18" s="7">
        <f t="shared" ca="1" si="0"/>
        <v>4.0066945025235761</v>
      </c>
      <c r="M18" s="7">
        <f t="shared" si="1"/>
        <v>3.7060382094651985</v>
      </c>
      <c r="N18" s="7">
        <f t="shared" si="2"/>
        <v>3.6218531348191809</v>
      </c>
      <c r="O18" s="39">
        <f t="shared" si="5"/>
        <v>3.088365174554332E-3</v>
      </c>
      <c r="P18" s="39">
        <f t="shared" ca="1" si="3"/>
        <v>3.3730387577873581E-3</v>
      </c>
      <c r="Q18" s="40">
        <f t="shared" ca="1" si="4"/>
        <v>6.4614039323416901E-3</v>
      </c>
      <c r="V18" s="1"/>
      <c r="W18" s="1"/>
      <c r="X18" s="1"/>
      <c r="Y18" s="1"/>
    </row>
    <row r="19" spans="10:25" x14ac:dyDescent="0.2">
      <c r="J19" s="9">
        <v>6</v>
      </c>
      <c r="K19" s="7">
        <f t="shared" si="6"/>
        <v>5</v>
      </c>
      <c r="L19" s="7">
        <f t="shared" ca="1" si="0"/>
        <v>4.794647684415942</v>
      </c>
      <c r="M19" s="7">
        <f t="shared" si="1"/>
        <v>3.8005840259802666</v>
      </c>
      <c r="N19" s="7">
        <f t="shared" si="2"/>
        <v>3.7060382094651985</v>
      </c>
      <c r="O19" s="39">
        <f t="shared" si="5"/>
        <v>3.1671533549835554E-3</v>
      </c>
      <c r="P19" s="39">
        <f t="shared" ca="1" si="3"/>
        <v>4.5331388022518578E-3</v>
      </c>
      <c r="Q19" s="40">
        <f t="shared" ca="1" si="4"/>
        <v>7.7002921572354131E-3</v>
      </c>
      <c r="V19" s="1"/>
      <c r="W19" s="1"/>
      <c r="X19" s="1"/>
      <c r="Y19" s="1"/>
    </row>
    <row r="20" spans="10:25" x14ac:dyDescent="0.2">
      <c r="J20" s="9">
        <v>7</v>
      </c>
      <c r="K20" s="7">
        <f t="shared" si="6"/>
        <v>6</v>
      </c>
      <c r="L20" s="7">
        <f t="shared" ca="1" si="0"/>
        <v>5.5440854955190764</v>
      </c>
      <c r="M20" s="7">
        <f t="shared" si="1"/>
        <v>3.8953339906518893</v>
      </c>
      <c r="N20" s="7">
        <f t="shared" si="2"/>
        <v>3.8005840259802666</v>
      </c>
      <c r="O20" s="39">
        <f t="shared" si="5"/>
        <v>3.2461116588765743E-3</v>
      </c>
      <c r="P20" s="39">
        <f t="shared" ca="1" si="3"/>
        <v>5.2530190483688812E-3</v>
      </c>
      <c r="Q20" s="40">
        <f t="shared" ca="1" si="4"/>
        <v>8.4991307072454555E-3</v>
      </c>
      <c r="V20" s="1"/>
      <c r="W20" s="1"/>
      <c r="X20" s="1"/>
      <c r="Y20" s="1"/>
    </row>
    <row r="21" spans="10:25" x14ac:dyDescent="0.2">
      <c r="J21" s="9">
        <v>8</v>
      </c>
      <c r="K21" s="7">
        <f t="shared" si="6"/>
        <v>7</v>
      </c>
      <c r="L21" s="7">
        <f t="shared" ca="1" si="0"/>
        <v>6.2560613993427241</v>
      </c>
      <c r="M21" s="7">
        <f t="shared" si="1"/>
        <v>3.9850622809593048</v>
      </c>
      <c r="N21" s="7">
        <f t="shared" si="2"/>
        <v>3.8953339906518893</v>
      </c>
      <c r="O21" s="39">
        <f t="shared" si="5"/>
        <v>3.320885234132754E-3</v>
      </c>
      <c r="P21" s="39">
        <f t="shared" ca="1" si="3"/>
        <v>5.6134569342124081E-3</v>
      </c>
      <c r="Q21" s="40">
        <f t="shared" ca="1" si="4"/>
        <v>8.9343421683451621E-3</v>
      </c>
      <c r="V21" s="1"/>
      <c r="W21" s="1"/>
      <c r="X21" s="1"/>
      <c r="Y21" s="1"/>
    </row>
    <row r="22" spans="10:25" x14ac:dyDescent="0.2">
      <c r="J22" s="9">
        <v>9</v>
      </c>
      <c r="K22" s="7">
        <f t="shared" si="6"/>
        <v>8</v>
      </c>
      <c r="L22" s="7">
        <f t="shared" ca="1" si="0"/>
        <v>6.9320872105485707</v>
      </c>
      <c r="M22" s="7">
        <f t="shared" si="1"/>
        <v>4.0674096879852755</v>
      </c>
      <c r="N22" s="7">
        <f t="shared" si="2"/>
        <v>3.9850622809593048</v>
      </c>
      <c r="O22" s="39">
        <f t="shared" si="5"/>
        <v>3.3895080733210626E-3</v>
      </c>
      <c r="P22" s="39">
        <f t="shared" ca="1" si="3"/>
        <v>5.7083940706656794E-3</v>
      </c>
      <c r="Q22" s="40">
        <f t="shared" ca="1" si="4"/>
        <v>9.0979021439867424E-3</v>
      </c>
      <c r="V22" s="1"/>
      <c r="W22" s="1"/>
      <c r="X22" s="1"/>
      <c r="Y22" s="1"/>
    </row>
    <row r="23" spans="10:25" x14ac:dyDescent="0.2">
      <c r="J23" s="9">
        <v>10</v>
      </c>
      <c r="K23" s="7">
        <f>J23-1</f>
        <v>9</v>
      </c>
      <c r="L23" s="7">
        <f t="shared" ca="1" si="0"/>
        <v>7.5738933220817657</v>
      </c>
      <c r="M23" s="7">
        <f t="shared" si="1"/>
        <v>4.1416342654544183</v>
      </c>
      <c r="N23" s="7">
        <f t="shared" si="2"/>
        <v>4.0674096879852755</v>
      </c>
      <c r="O23" s="39">
        <f t="shared" si="5"/>
        <v>3.451361887878682E-3</v>
      </c>
      <c r="P23" s="39">
        <f t="shared" ca="1" si="3"/>
        <v>5.6216903162788403E-3</v>
      </c>
      <c r="Q23" s="40">
        <f t="shared" ca="1" si="4"/>
        <v>9.0730522041575223E-3</v>
      </c>
      <c r="V23" s="1"/>
      <c r="W23" s="1"/>
      <c r="X23" s="1"/>
      <c r="Y23" s="1"/>
    </row>
    <row r="24" spans="10:25" x14ac:dyDescent="0.2">
      <c r="M24" s="1"/>
      <c r="N24" s="1"/>
      <c r="O24" s="1"/>
      <c r="V24" s="1"/>
      <c r="W24" s="1"/>
      <c r="X24" s="1"/>
      <c r="Y24" s="1"/>
    </row>
    <row r="25" spans="10:25" x14ac:dyDescent="0.2">
      <c r="J25" s="27" t="s">
        <v>39</v>
      </c>
      <c r="K25" s="10"/>
      <c r="L25" s="10"/>
      <c r="M25" s="10"/>
      <c r="N25" s="10"/>
      <c r="O25" s="10"/>
      <c r="P25" s="10"/>
      <c r="Q25" s="10"/>
      <c r="V25" s="1"/>
      <c r="W25" s="1"/>
      <c r="X25" s="1"/>
      <c r="Y25" s="1"/>
    </row>
    <row r="26" spans="10:25" x14ac:dyDescent="0.2">
      <c r="J26" s="10" t="s">
        <v>25</v>
      </c>
      <c r="K26" s="10" t="s">
        <v>26</v>
      </c>
      <c r="L26" s="10" t="s">
        <v>31</v>
      </c>
      <c r="M26" s="10" t="s">
        <v>27</v>
      </c>
      <c r="N26" s="10" t="s">
        <v>28</v>
      </c>
      <c r="O26" s="10" t="s">
        <v>32</v>
      </c>
      <c r="P26" s="10" t="s">
        <v>29</v>
      </c>
      <c r="Q26" s="10" t="s">
        <v>30</v>
      </c>
      <c r="V26" s="1"/>
      <c r="W26" s="1"/>
      <c r="X26" s="1"/>
      <c r="Y26" s="1"/>
    </row>
    <row r="27" spans="10:25" x14ac:dyDescent="0.2">
      <c r="J27" s="9">
        <v>0.25</v>
      </c>
      <c r="K27" s="7">
        <v>2.7000000000000001E-3</v>
      </c>
      <c r="L27" s="7">
        <f t="shared" ref="L27:L37" ca="1" si="7">IF(M27&gt;0,MDURATION(TODAY(), TODAY()+365.25*AVERAGE(J27:K27),M27%,M27%,1),J27)</f>
        <v>0.1202909108612312</v>
      </c>
      <c r="M27" s="7">
        <f t="shared" ref="M27:M37" si="8">beta_0+beta_1*((1-EXP(-lambda*J27))/(lambda*J27))+beta_2*((1-EXP(-lambda*J27))/(lambda*J27)-EXP(-lambda*J27))</f>
        <v>3.914750586768164</v>
      </c>
      <c r="N27" s="7">
        <f t="shared" ref="N27:N37" si="9">beta_0_scen+beta_1_scen*((1-EXP(-lambda*K27))/(lambda*K27))+beta_2_scen*((1-EXP(-lambda*K27))/(lambda*K27)-EXP(-lambda*K27))</f>
        <v>3.376013763115477</v>
      </c>
      <c r="O27" s="39">
        <f>M27%/12</f>
        <v>3.2622921556401366E-3</v>
      </c>
      <c r="P27" s="39">
        <f t="shared" ref="P27:P37" ca="1" si="10">(N27%-M27%)*-L27</f>
        <v>6.480514323166822E-4</v>
      </c>
      <c r="Q27" s="39">
        <f t="shared" ref="Q27:Q37" ca="1" si="11">O27+P27</f>
        <v>3.9103435879568188E-3</v>
      </c>
      <c r="V27" s="1"/>
      <c r="W27" s="1"/>
      <c r="X27" s="1"/>
      <c r="Y27" s="1"/>
    </row>
    <row r="28" spans="10:25" x14ac:dyDescent="0.2">
      <c r="J28" s="9">
        <v>1</v>
      </c>
      <c r="K28" s="7">
        <v>2.7000000000000001E-3</v>
      </c>
      <c r="L28" s="7">
        <f t="shared" ca="1" si="7"/>
        <v>0.48486685506560029</v>
      </c>
      <c r="M28" s="7">
        <f t="shared" si="8"/>
        <v>3.6939878494590559</v>
      </c>
      <c r="N28" s="7">
        <f t="shared" si="9"/>
        <v>3.376013763115477</v>
      </c>
      <c r="O28" s="39">
        <f t="shared" ref="O28:O37" si="12">M28%/12</f>
        <v>3.0783232078825467E-3</v>
      </c>
      <c r="P28" s="39">
        <f t="shared" ca="1" si="10"/>
        <v>1.5417509523776873E-3</v>
      </c>
      <c r="Q28" s="39">
        <f t="shared" ca="1" si="11"/>
        <v>4.620074160260234E-3</v>
      </c>
      <c r="V28" s="1"/>
      <c r="W28" s="1"/>
      <c r="X28" s="1"/>
      <c r="Y28" s="1"/>
    </row>
    <row r="29" spans="10:25" x14ac:dyDescent="0.2">
      <c r="J29" s="9">
        <v>2</v>
      </c>
      <c r="K29" s="7">
        <f>J29-1</f>
        <v>1</v>
      </c>
      <c r="L29" s="7">
        <f t="shared" ca="1" si="7"/>
        <v>1.414964045670364</v>
      </c>
      <c r="M29" s="7">
        <f t="shared" si="8"/>
        <v>3.572228062873235</v>
      </c>
      <c r="N29" s="7">
        <f t="shared" si="9"/>
        <v>3.3819470977022865</v>
      </c>
      <c r="O29" s="39">
        <f t="shared" si="12"/>
        <v>2.9768567190610294E-3</v>
      </c>
      <c r="P29" s="39">
        <f t="shared" ca="1" si="10"/>
        <v>2.6924072429234769E-3</v>
      </c>
      <c r="Q29" s="39">
        <f t="shared" ca="1" si="11"/>
        <v>5.6692639619845067E-3</v>
      </c>
      <c r="V29" s="1"/>
      <c r="W29" s="1"/>
      <c r="X29" s="1"/>
      <c r="Y29" s="1"/>
    </row>
    <row r="30" spans="10:25" x14ac:dyDescent="0.2">
      <c r="J30" s="9">
        <v>3</v>
      </c>
      <c r="K30" s="7">
        <f t="shared" ref="K30:K37" si="13">J30-1</f>
        <v>2</v>
      </c>
      <c r="L30" s="7">
        <f ca="1">IF(M30&gt;0,MDURATION(TODAY(), TODAY()+365.25*AVERAGE(J30:K30),M30%,M30%,1),J30)</f>
        <v>2.31530053451998</v>
      </c>
      <c r="M30" s="7">
        <f t="shared" si="8"/>
        <v>3.5664947005857495</v>
      </c>
      <c r="N30" s="7">
        <f t="shared" si="9"/>
        <v>3.4360105870767588</v>
      </c>
      <c r="O30" s="39">
        <f t="shared" si="12"/>
        <v>2.9720789171547913E-3</v>
      </c>
      <c r="P30" s="39">
        <f t="shared" ca="1" si="10"/>
        <v>3.0210993775373319E-3</v>
      </c>
      <c r="Q30" s="39">
        <f t="shared" ca="1" si="11"/>
        <v>5.9931782946921232E-3</v>
      </c>
      <c r="V30" s="1"/>
      <c r="W30" s="1"/>
      <c r="X30" s="1"/>
      <c r="Y30" s="1"/>
    </row>
    <row r="31" spans="10:25" x14ac:dyDescent="0.2">
      <c r="J31" s="9">
        <v>4</v>
      </c>
      <c r="K31" s="7">
        <f t="shared" si="13"/>
        <v>3</v>
      </c>
      <c r="L31" s="7">
        <f t="shared" ca="1" si="7"/>
        <v>3.1799551339514833</v>
      </c>
      <c r="M31" s="7">
        <f t="shared" si="8"/>
        <v>3.6218531348191809</v>
      </c>
      <c r="N31" s="7">
        <f t="shared" si="9"/>
        <v>3.5113711357606778</v>
      </c>
      <c r="O31" s="39">
        <f t="shared" si="12"/>
        <v>3.0182109456826506E-3</v>
      </c>
      <c r="P31" s="39">
        <f t="shared" ca="1" si="10"/>
        <v>3.5132780011530975E-3</v>
      </c>
      <c r="Q31" s="39">
        <f t="shared" ca="1" si="11"/>
        <v>6.5314889468357481E-3</v>
      </c>
      <c r="V31" s="1"/>
      <c r="W31" s="1"/>
      <c r="X31" s="1"/>
      <c r="Y31" s="1"/>
    </row>
    <row r="32" spans="10:25" x14ac:dyDescent="0.2">
      <c r="J32" s="9">
        <v>5</v>
      </c>
      <c r="K32" s="7">
        <f t="shared" si="13"/>
        <v>4</v>
      </c>
      <c r="L32" s="7">
        <f t="shared" ca="1" si="7"/>
        <v>4.0066945025235761</v>
      </c>
      <c r="M32" s="7">
        <f t="shared" si="8"/>
        <v>3.7060382094651985</v>
      </c>
      <c r="N32" s="7">
        <f t="shared" si="9"/>
        <v>3.5929576549437341</v>
      </c>
      <c r="O32" s="39">
        <f t="shared" si="12"/>
        <v>3.088365174554332E-3</v>
      </c>
      <c r="P32" s="39">
        <f t="shared" ca="1" si="10"/>
        <v>4.5307923614346848E-3</v>
      </c>
      <c r="Q32" s="39">
        <f t="shared" ca="1" si="11"/>
        <v>7.6191575359890167E-3</v>
      </c>
      <c r="V32" s="1"/>
      <c r="W32" s="1"/>
      <c r="X32" s="1"/>
      <c r="Y32" s="1"/>
    </row>
    <row r="33" spans="9:25" x14ac:dyDescent="0.2">
      <c r="J33" s="9">
        <v>6</v>
      </c>
      <c r="K33" s="7">
        <v>5</v>
      </c>
      <c r="L33" s="7">
        <f t="shared" ca="1" si="7"/>
        <v>4.794647684415942</v>
      </c>
      <c r="M33" s="7">
        <f t="shared" si="8"/>
        <v>3.8005840259802666</v>
      </c>
      <c r="N33" s="7">
        <f t="shared" si="9"/>
        <v>3.6727434499611196</v>
      </c>
      <c r="O33" s="39">
        <f t="shared" si="12"/>
        <v>3.1671533549835554E-3</v>
      </c>
      <c r="P33" s="39">
        <f t="shared" ca="1" si="10"/>
        <v>6.1295052178460272E-3</v>
      </c>
      <c r="Q33" s="39">
        <f t="shared" ca="1" si="11"/>
        <v>9.2966585728295817E-3</v>
      </c>
      <c r="V33" s="1"/>
      <c r="W33" s="1"/>
      <c r="X33" s="1"/>
      <c r="Y33" s="1"/>
    </row>
    <row r="34" spans="9:25" x14ac:dyDescent="0.2">
      <c r="J34" s="9">
        <v>7</v>
      </c>
      <c r="K34" s="7">
        <f t="shared" si="13"/>
        <v>6</v>
      </c>
      <c r="L34" s="7">
        <f t="shared" ca="1" si="7"/>
        <v>5.5440854955190764</v>
      </c>
      <c r="M34" s="7">
        <f t="shared" si="8"/>
        <v>3.8953339906518893</v>
      </c>
      <c r="N34" s="7">
        <f t="shared" si="9"/>
        <v>3.7468158420666211</v>
      </c>
      <c r="O34" s="39">
        <f t="shared" si="12"/>
        <v>3.2461116588765743E-3</v>
      </c>
      <c r="P34" s="39">
        <f t="shared" ca="1" si="10"/>
        <v>8.2339731339293107E-3</v>
      </c>
      <c r="Q34" s="39">
        <f t="shared" ca="1" si="11"/>
        <v>1.1480084792805885E-2</v>
      </c>
      <c r="V34" s="1"/>
      <c r="W34" s="1"/>
      <c r="X34" s="1"/>
      <c r="Y34" s="1"/>
    </row>
    <row r="35" spans="9:25" x14ac:dyDescent="0.2">
      <c r="J35" s="9">
        <v>8</v>
      </c>
      <c r="K35" s="7">
        <f t="shared" si="13"/>
        <v>7</v>
      </c>
      <c r="L35" s="7">
        <f t="shared" ca="1" si="7"/>
        <v>6.2560613993427241</v>
      </c>
      <c r="M35" s="7">
        <f t="shared" si="8"/>
        <v>3.9850622809593048</v>
      </c>
      <c r="N35" s="7">
        <f t="shared" si="9"/>
        <v>3.8136039680403564</v>
      </c>
      <c r="O35" s="39">
        <f t="shared" si="12"/>
        <v>3.320885234132754E-3</v>
      </c>
      <c r="P35" s="39">
        <f t="shared" ca="1" si="10"/>
        <v>1.0726537330486591E-2</v>
      </c>
      <c r="Q35" s="39">
        <f t="shared" ca="1" si="11"/>
        <v>1.4047422564619345E-2</v>
      </c>
      <c r="V35" s="1"/>
      <c r="W35" s="1"/>
      <c r="X35" s="1"/>
      <c r="Y35" s="1"/>
    </row>
    <row r="36" spans="9:25" x14ac:dyDescent="0.2">
      <c r="J36" s="9">
        <v>9</v>
      </c>
      <c r="K36" s="7">
        <f t="shared" si="13"/>
        <v>8</v>
      </c>
      <c r="L36" s="7">
        <f t="shared" ca="1" si="7"/>
        <v>6.9320872105485707</v>
      </c>
      <c r="M36" s="7">
        <f t="shared" si="8"/>
        <v>4.0674096879852755</v>
      </c>
      <c r="N36" s="7">
        <f t="shared" si="9"/>
        <v>3.8728193602027092</v>
      </c>
      <c r="O36" s="39">
        <f t="shared" si="12"/>
        <v>3.3895080733210626E-3</v>
      </c>
      <c r="P36" s="39">
        <f t="shared" ca="1" si="10"/>
        <v>1.3489171225179827E-2</v>
      </c>
      <c r="Q36" s="39">
        <f t="shared" ca="1" si="11"/>
        <v>1.6878679298500891E-2</v>
      </c>
      <c r="V36" s="1"/>
      <c r="W36" s="1"/>
      <c r="X36" s="1"/>
      <c r="Y36" s="1"/>
    </row>
    <row r="37" spans="9:25" x14ac:dyDescent="0.2">
      <c r="J37" s="9">
        <v>10</v>
      </c>
      <c r="K37" s="7">
        <f t="shared" si="13"/>
        <v>9</v>
      </c>
      <c r="L37" s="7">
        <f t="shared" ca="1" si="7"/>
        <v>7.5738933220817657</v>
      </c>
      <c r="M37" s="7">
        <f t="shared" si="8"/>
        <v>4.1416342654544183</v>
      </c>
      <c r="N37" s="7">
        <f t="shared" si="9"/>
        <v>3.9248324054517258</v>
      </c>
      <c r="O37" s="39">
        <f t="shared" si="12"/>
        <v>3.451361887878682E-3</v>
      </c>
      <c r="P37" s="39">
        <f t="shared" ca="1" si="10"/>
        <v>1.6420341596892984E-2</v>
      </c>
      <c r="Q37" s="39">
        <f t="shared" ca="1" si="11"/>
        <v>1.9871703484771665E-2</v>
      </c>
      <c r="V37" s="1"/>
      <c r="W37" s="1"/>
      <c r="X37" s="1"/>
      <c r="Y37" s="1"/>
    </row>
    <row r="38" spans="9:25" x14ac:dyDescent="0.2">
      <c r="M38" s="1"/>
      <c r="N38" s="1"/>
      <c r="O38" s="1"/>
      <c r="V38" s="1"/>
      <c r="W38" s="1"/>
      <c r="X38" s="1"/>
      <c r="Y38" s="1"/>
    </row>
    <row r="39" spans="9:25" x14ac:dyDescent="0.2">
      <c r="J39" s="34" t="s">
        <v>55</v>
      </c>
      <c r="K39" s="35"/>
      <c r="L39" s="35"/>
      <c r="M39" s="35"/>
      <c r="N39" s="35"/>
      <c r="O39" s="35"/>
      <c r="P39" s="35"/>
      <c r="Q39" s="35"/>
      <c r="V39" s="1"/>
      <c r="W39" s="1"/>
      <c r="X39" s="1"/>
      <c r="Y39" s="1"/>
    </row>
    <row r="40" spans="9:25" x14ac:dyDescent="0.2">
      <c r="J40" s="35" t="s">
        <v>54</v>
      </c>
      <c r="K40" s="36" t="s">
        <v>60</v>
      </c>
      <c r="L40" s="35" t="s">
        <v>4</v>
      </c>
      <c r="M40" s="36" t="s">
        <v>61</v>
      </c>
      <c r="N40" s="35" t="s">
        <v>32</v>
      </c>
      <c r="O40" s="35" t="s">
        <v>58</v>
      </c>
      <c r="P40" s="35" t="s">
        <v>30</v>
      </c>
      <c r="Q40" s="35" t="s">
        <v>59</v>
      </c>
      <c r="V40" s="1"/>
      <c r="W40" s="1"/>
      <c r="X40" s="1"/>
      <c r="Y40" s="1"/>
    </row>
    <row r="41" spans="9:25" x14ac:dyDescent="0.2">
      <c r="I41" s="4">
        <v>0</v>
      </c>
      <c r="J41" s="7">
        <f t="shared" ref="J41:J53" si="14">scen_mat_a</f>
        <v>2</v>
      </c>
      <c r="K41" s="7">
        <f>J41-1/12</f>
        <v>1.9166666666666667</v>
      </c>
      <c r="L41" s="42">
        <f>beta_0+beta_1*((1-EXP(-lambda*J42))/(lambda*J42))+beta_2*((1-EXP(-lambda*J42))/(lambda*J42)-EXP(-lambda*J42))</f>
        <v>3.572228062873235</v>
      </c>
      <c r="M41" s="42">
        <f>beta_0+beta_1*((1-EXP(-lambda*K41))/(lambda*K41))+beta_2*((1-EXP(-lambda*K41))/(lambda*K41)-EXP(-lambda*K41))</f>
        <v>3.5769692429957294</v>
      </c>
      <c r="N41" s="39"/>
      <c r="O41" s="39"/>
      <c r="P41" s="39"/>
      <c r="Q41" s="39">
        <v>0</v>
      </c>
      <c r="V41" s="1"/>
      <c r="W41" s="1"/>
      <c r="X41" s="1"/>
      <c r="Y41" s="1"/>
    </row>
    <row r="42" spans="9:25" x14ac:dyDescent="0.2">
      <c r="I42" s="4">
        <v>1</v>
      </c>
      <c r="J42" s="7">
        <f t="shared" si="14"/>
        <v>2</v>
      </c>
      <c r="K42" s="7">
        <f>J42-1/12</f>
        <v>1.9166666666666667</v>
      </c>
      <c r="L42" s="7">
        <f>L$41+$I42*(L$53-L$41)/12</f>
        <v>3.560876606556862</v>
      </c>
      <c r="M42" s="7">
        <f>M$41+$I42*(M$53-M$41)/12</f>
        <v>3.5647564351772552</v>
      </c>
      <c r="N42" s="39">
        <f>L41%/12</f>
        <v>2.9768567190610294E-3</v>
      </c>
      <c r="O42" s="39">
        <f ca="1">PRICE(TODAY(), TODAY()+K42*365.25, L41%,M42%,100,1)/100-1</f>
        <v>8.8535804828149267E-5</v>
      </c>
      <c r="P42" s="39">
        <f ca="1">N42+O42</f>
        <v>3.0653925238891787E-3</v>
      </c>
      <c r="Q42" s="39">
        <f ca="1">(1+Q41)*(1+P42)-1</f>
        <v>3.0653925238892654E-3</v>
      </c>
      <c r="V42" s="1"/>
      <c r="W42" s="1"/>
      <c r="X42" s="1"/>
      <c r="Y42" s="1"/>
    </row>
    <row r="43" spans="9:25" x14ac:dyDescent="0.2">
      <c r="I43" s="4">
        <v>2</v>
      </c>
      <c r="J43" s="7">
        <f t="shared" si="14"/>
        <v>2</v>
      </c>
      <c r="K43" s="7">
        <f t="shared" ref="K43:K53" si="15">J43-1/12</f>
        <v>1.9166666666666667</v>
      </c>
      <c r="L43" s="7">
        <f t="shared" ref="L43:L52" si="16">L$41+$I43*($L$53-$L$41)/12</f>
        <v>3.549525150240489</v>
      </c>
      <c r="M43" s="7">
        <f t="shared" ref="M43:M52" si="17">M$41+$I43*(M$53-M$41)/12</f>
        <v>3.5525436273587805</v>
      </c>
      <c r="N43" s="39">
        <f t="shared" ref="N43:N53" si="18">L42%/12</f>
        <v>2.9673971721307182E-3</v>
      </c>
      <c r="O43" s="39">
        <f t="shared" ref="O43:O53" ca="1" si="19">PRICE(TODAY(), TODAY()+K43*365.25, L42%,M43%,100,1)/100-1</f>
        <v>1.0456097790112473E-4</v>
      </c>
      <c r="P43" s="39">
        <f t="shared" ref="P43:P53" ca="1" si="20">N43+O43</f>
        <v>3.0719581500318429E-3</v>
      </c>
      <c r="Q43" s="39">
        <f t="shared" ref="Q43:Q53" ca="1" si="21">(1+Q42)*(1+P43)-1</f>
        <v>6.1467674314679144E-3</v>
      </c>
      <c r="V43" s="1"/>
      <c r="W43" s="1"/>
      <c r="X43" s="1"/>
      <c r="Y43" s="1"/>
    </row>
    <row r="44" spans="9:25" x14ac:dyDescent="0.2">
      <c r="I44" s="4">
        <v>3</v>
      </c>
      <c r="J44" s="7">
        <f t="shared" si="14"/>
        <v>2</v>
      </c>
      <c r="K44" s="7">
        <f t="shared" si="15"/>
        <v>1.9166666666666667</v>
      </c>
      <c r="L44" s="7">
        <f t="shared" si="16"/>
        <v>3.538173693924116</v>
      </c>
      <c r="M44" s="7">
        <f t="shared" si="17"/>
        <v>3.5403308195403058</v>
      </c>
      <c r="N44" s="39">
        <f t="shared" si="18"/>
        <v>2.9579376252004074E-3</v>
      </c>
      <c r="O44" s="39">
        <f t="shared" ca="1" si="19"/>
        <v>1.2059053926116725E-4</v>
      </c>
      <c r="P44" s="39">
        <f t="shared" ca="1" si="20"/>
        <v>3.0785281644615746E-3</v>
      </c>
      <c r="Q44" s="39">
        <f t="shared" ca="1" si="21"/>
        <v>9.2442185925876164E-3</v>
      </c>
      <c r="V44" s="1"/>
      <c r="W44" s="1"/>
      <c r="X44" s="1"/>
      <c r="Y44" s="1"/>
    </row>
    <row r="45" spans="9:25" x14ac:dyDescent="0.2">
      <c r="I45" s="4">
        <v>4</v>
      </c>
      <c r="J45" s="7">
        <f t="shared" si="14"/>
        <v>2</v>
      </c>
      <c r="K45" s="7">
        <f t="shared" si="15"/>
        <v>1.9166666666666667</v>
      </c>
      <c r="L45" s="7">
        <f t="shared" si="16"/>
        <v>3.5268222376077429</v>
      </c>
      <c r="M45" s="7">
        <f t="shared" si="17"/>
        <v>3.5281180117218316</v>
      </c>
      <c r="N45" s="39">
        <f t="shared" si="18"/>
        <v>2.9484780782700966E-3</v>
      </c>
      <c r="O45" s="39">
        <f t="shared" ca="1" si="19"/>
        <v>1.366244911626957E-4</v>
      </c>
      <c r="P45" s="39">
        <f t="shared" ca="1" si="20"/>
        <v>3.0851025694327923E-3</v>
      </c>
      <c r="Q45" s="39">
        <f t="shared" ca="1" si="21"/>
        <v>1.2357840524552799E-2</v>
      </c>
      <c r="V45" s="1"/>
      <c r="W45" s="1"/>
      <c r="X45" s="1"/>
      <c r="Y45" s="1"/>
    </row>
    <row r="46" spans="9:25" x14ac:dyDescent="0.2">
      <c r="I46" s="4">
        <v>5</v>
      </c>
      <c r="J46" s="7">
        <f t="shared" si="14"/>
        <v>2</v>
      </c>
      <c r="K46" s="7">
        <f t="shared" si="15"/>
        <v>1.9166666666666667</v>
      </c>
      <c r="L46" s="7">
        <f t="shared" si="16"/>
        <v>3.5154707812913699</v>
      </c>
      <c r="M46" s="7">
        <f t="shared" si="17"/>
        <v>3.5159052039033574</v>
      </c>
      <c r="N46" s="39">
        <f t="shared" si="18"/>
        <v>2.9390185313397858E-3</v>
      </c>
      <c r="O46" s="39">
        <f t="shared" ca="1" si="19"/>
        <v>1.5266283586146123E-4</v>
      </c>
      <c r="P46" s="39">
        <f t="shared" ca="1" si="20"/>
        <v>3.091681367201247E-3</v>
      </c>
      <c r="Q46" s="39">
        <f t="shared" ca="1" si="21"/>
        <v>1.548772839704271E-2</v>
      </c>
      <c r="V46" s="1"/>
      <c r="W46" s="1"/>
      <c r="X46" s="1"/>
      <c r="Y46" s="1"/>
    </row>
    <row r="47" spans="9:25" x14ac:dyDescent="0.2">
      <c r="I47" s="4">
        <v>6</v>
      </c>
      <c r="J47" s="7">
        <f t="shared" si="14"/>
        <v>2</v>
      </c>
      <c r="K47" s="7">
        <f t="shared" si="15"/>
        <v>1.9166666666666667</v>
      </c>
      <c r="L47" s="7">
        <f t="shared" si="16"/>
        <v>3.5041193249749969</v>
      </c>
      <c r="M47" s="7">
        <f t="shared" si="17"/>
        <v>3.5036923960848827</v>
      </c>
      <c r="N47" s="39">
        <f t="shared" si="18"/>
        <v>2.929558984409475E-3</v>
      </c>
      <c r="O47" s="39">
        <f t="shared" ca="1" si="19"/>
        <v>1.6870557561388111E-4</v>
      </c>
      <c r="P47" s="39">
        <f t="shared" ca="1" si="20"/>
        <v>3.0982645600233561E-3</v>
      </c>
      <c r="Q47" s="39">
        <f t="shared" ca="1" si="21"/>
        <v>1.8633978037073895E-2</v>
      </c>
      <c r="V47" s="1"/>
      <c r="W47" s="1"/>
      <c r="X47" s="1"/>
      <c r="Y47" s="1"/>
    </row>
    <row r="48" spans="9:25" x14ac:dyDescent="0.2">
      <c r="I48" s="4">
        <v>7</v>
      </c>
      <c r="J48" s="7">
        <f t="shared" si="14"/>
        <v>2</v>
      </c>
      <c r="K48" s="7">
        <f t="shared" si="15"/>
        <v>1.9166666666666667</v>
      </c>
      <c r="L48" s="7">
        <f t="shared" si="16"/>
        <v>3.4927678686586239</v>
      </c>
      <c r="M48" s="7">
        <f t="shared" si="17"/>
        <v>3.491479588266408</v>
      </c>
      <c r="N48" s="39">
        <f t="shared" si="18"/>
        <v>2.9200994374791642E-3</v>
      </c>
      <c r="O48" s="39">
        <f t="shared" ca="1" si="19"/>
        <v>1.8475271267837101E-4</v>
      </c>
      <c r="P48" s="39">
        <f t="shared" ca="1" si="20"/>
        <v>3.1048521501575352E-3</v>
      </c>
      <c r="Q48" s="39">
        <f t="shared" ca="1" si="21"/>
        <v>2.1796685934005744E-2</v>
      </c>
      <c r="V48" s="1"/>
      <c r="W48" s="1"/>
      <c r="X48" s="1"/>
      <c r="Y48" s="1"/>
    </row>
    <row r="49" spans="9:25" x14ac:dyDescent="0.2">
      <c r="I49" s="4">
        <v>8</v>
      </c>
      <c r="J49" s="7">
        <f t="shared" si="14"/>
        <v>2</v>
      </c>
      <c r="K49" s="7">
        <f t="shared" si="15"/>
        <v>1.9166666666666667</v>
      </c>
      <c r="L49" s="7">
        <f t="shared" si="16"/>
        <v>3.4814164123422509</v>
      </c>
      <c r="M49" s="7">
        <f t="shared" si="17"/>
        <v>3.4792667804479338</v>
      </c>
      <c r="N49" s="39">
        <f t="shared" si="18"/>
        <v>2.910639890548853E-3</v>
      </c>
      <c r="O49" s="39">
        <f t="shared" ca="1" si="19"/>
        <v>2.0080424931445684E-4</v>
      </c>
      <c r="P49" s="39">
        <f t="shared" ca="1" si="20"/>
        <v>3.1114441398633098E-3</v>
      </c>
      <c r="Q49" s="39">
        <f t="shared" ca="1" si="21"/>
        <v>2.4975949244586904E-2</v>
      </c>
      <c r="V49" s="1"/>
      <c r="W49" s="1"/>
      <c r="X49" s="1"/>
      <c r="Y49" s="1"/>
    </row>
    <row r="50" spans="9:25" x14ac:dyDescent="0.2">
      <c r="I50" s="4">
        <v>9</v>
      </c>
      <c r="J50" s="7">
        <f t="shared" si="14"/>
        <v>2</v>
      </c>
      <c r="K50" s="7">
        <f t="shared" si="15"/>
        <v>1.9166666666666667</v>
      </c>
      <c r="L50" s="7">
        <f t="shared" si="16"/>
        <v>3.4700649560258778</v>
      </c>
      <c r="M50" s="7">
        <f t="shared" si="17"/>
        <v>3.4670539726294596</v>
      </c>
      <c r="N50" s="39">
        <f t="shared" si="18"/>
        <v>2.9011803436185426E-3</v>
      </c>
      <c r="O50" s="39">
        <f t="shared" ca="1" si="19"/>
        <v>2.1686018778366289E-4</v>
      </c>
      <c r="P50" s="39">
        <f t="shared" ca="1" si="20"/>
        <v>3.1180405314022055E-3</v>
      </c>
      <c r="Q50" s="39">
        <f t="shared" ca="1" si="21"/>
        <v>2.8171865798043871E-2</v>
      </c>
      <c r="V50" s="1"/>
      <c r="W50" s="1"/>
      <c r="X50" s="1"/>
      <c r="Y50" s="1"/>
    </row>
    <row r="51" spans="9:25" x14ac:dyDescent="0.2">
      <c r="I51" s="4">
        <v>10</v>
      </c>
      <c r="J51" s="7">
        <f t="shared" si="14"/>
        <v>2</v>
      </c>
      <c r="K51" s="7">
        <f t="shared" si="15"/>
        <v>1.9166666666666667</v>
      </c>
      <c r="L51" s="7">
        <f t="shared" si="16"/>
        <v>3.4587134997095048</v>
      </c>
      <c r="M51" s="7">
        <f t="shared" si="17"/>
        <v>3.4548411648109849</v>
      </c>
      <c r="N51" s="39">
        <f t="shared" si="18"/>
        <v>2.8917207966882314E-3</v>
      </c>
      <c r="O51" s="39">
        <f t="shared" ca="1" si="19"/>
        <v>2.3292053034729143E-4</v>
      </c>
      <c r="P51" s="39">
        <f t="shared" ca="1" si="20"/>
        <v>3.1246413270355228E-3</v>
      </c>
      <c r="Q51" s="39">
        <f t="shared" ca="1" si="21"/>
        <v>3.1384534101211781E-2</v>
      </c>
      <c r="V51" s="1"/>
      <c r="W51" s="1"/>
      <c r="X51" s="1"/>
      <c r="Y51" s="1"/>
    </row>
    <row r="52" spans="9:25" x14ac:dyDescent="0.2">
      <c r="I52" s="4">
        <v>11</v>
      </c>
      <c r="J52" s="7">
        <f t="shared" si="14"/>
        <v>2</v>
      </c>
      <c r="K52" s="7">
        <f t="shared" si="15"/>
        <v>1.9166666666666667</v>
      </c>
      <c r="L52" s="7">
        <f t="shared" si="16"/>
        <v>3.4473620433931318</v>
      </c>
      <c r="M52" s="7">
        <f t="shared" si="17"/>
        <v>3.4426283569925102</v>
      </c>
      <c r="N52" s="39">
        <f t="shared" si="18"/>
        <v>2.8822612497579211E-3</v>
      </c>
      <c r="O52" s="39">
        <f t="shared" ca="1" si="19"/>
        <v>2.4898527926930925E-4</v>
      </c>
      <c r="P52" s="39">
        <f t="shared" ca="1" si="20"/>
        <v>3.1312465290272303E-3</v>
      </c>
      <c r="Q52" s="39">
        <f t="shared" ca="1" si="21"/>
        <v>3.4614053343708484E-2</v>
      </c>
      <c r="V52" s="1"/>
      <c r="W52" s="1"/>
      <c r="X52" s="1"/>
      <c r="Y52" s="1"/>
    </row>
    <row r="53" spans="9:25" x14ac:dyDescent="0.2">
      <c r="I53" s="4">
        <v>12</v>
      </c>
      <c r="J53" s="7">
        <f t="shared" si="14"/>
        <v>2</v>
      </c>
      <c r="K53" s="7">
        <f t="shared" si="15"/>
        <v>1.9166666666666667</v>
      </c>
      <c r="L53" s="42">
        <f>beta_0_scen+beta_1_scen*((1-EXP(-lambda*J53))/(lambda*J53))+beta_2_scen*((1-EXP(-lambda*J53))/(lambda*J53)-EXP(-lambda*J53))</f>
        <v>3.4360105870767588</v>
      </c>
      <c r="M53" s="42">
        <f>beta_0_scen+beta_1_scen*((1-EXP(-lambda*K53))/(lambda*K53))+beta_2_scen*((1-EXP(-lambda*K53))/(lambda*K53)-EXP(-lambda*K53))</f>
        <v>3.430415549174036</v>
      </c>
      <c r="N53" s="39">
        <f t="shared" si="18"/>
        <v>2.8728017028276098E-3</v>
      </c>
      <c r="O53" s="39">
        <f t="shared" ca="1" si="19"/>
        <v>2.6505443681568153E-4</v>
      </c>
      <c r="P53" s="39">
        <f t="shared" ca="1" si="20"/>
        <v>3.1378561396432914E-3</v>
      </c>
      <c r="Q53" s="41">
        <f t="shared" ca="1" si="21"/>
        <v>3.7860523403154378E-2</v>
      </c>
      <c r="V53" s="1"/>
      <c r="W53" s="1"/>
      <c r="X53" s="1"/>
      <c r="Y53" s="1"/>
    </row>
    <row r="54" spans="9:25" x14ac:dyDescent="0.2">
      <c r="I54" s="4"/>
      <c r="M54" s="1"/>
      <c r="N54" s="1"/>
      <c r="O54" s="1"/>
      <c r="V54" s="1"/>
      <c r="W54" s="1"/>
      <c r="X54" s="1"/>
      <c r="Y54" s="1"/>
    </row>
    <row r="55" spans="9:25" x14ac:dyDescent="0.2">
      <c r="I55" s="4"/>
      <c r="J55" s="37" t="s">
        <v>62</v>
      </c>
      <c r="K55" s="17"/>
      <c r="L55" s="17"/>
      <c r="M55" s="17"/>
      <c r="N55" s="17"/>
      <c r="O55" s="17"/>
      <c r="P55" s="17"/>
      <c r="Q55" s="17"/>
      <c r="V55" s="1"/>
      <c r="W55" s="1"/>
      <c r="X55" s="1"/>
      <c r="Y55" s="1"/>
    </row>
    <row r="56" spans="9:25" x14ac:dyDescent="0.2">
      <c r="I56" s="4"/>
      <c r="J56" s="17" t="s">
        <v>54</v>
      </c>
      <c r="K56" s="38" t="s">
        <v>60</v>
      </c>
      <c r="L56" s="17" t="s">
        <v>4</v>
      </c>
      <c r="M56" s="38" t="s">
        <v>61</v>
      </c>
      <c r="N56" s="17" t="s">
        <v>32</v>
      </c>
      <c r="O56" s="17" t="s">
        <v>58</v>
      </c>
      <c r="P56" s="17" t="s">
        <v>30</v>
      </c>
      <c r="Q56" s="17" t="s">
        <v>59</v>
      </c>
      <c r="V56" s="1"/>
      <c r="W56" s="1"/>
      <c r="X56" s="1"/>
      <c r="Y56" s="1"/>
    </row>
    <row r="57" spans="9:25" x14ac:dyDescent="0.2">
      <c r="I57" s="4">
        <v>0</v>
      </c>
      <c r="J57" s="7">
        <f t="shared" ref="J57:J69" si="22">scen_mat_b</f>
        <v>10</v>
      </c>
      <c r="K57" s="7">
        <f>J57-1/12</f>
        <v>9.9166666666666661</v>
      </c>
      <c r="L57" s="42">
        <f>beta_0+beta_1*((1-EXP(-lambda*J58))/(lambda*J58))+beta_2*((1-EXP(-lambda*J58))/(lambda*J58)-EXP(-lambda*J58))</f>
        <v>4.1416342654544183</v>
      </c>
      <c r="M57" s="42">
        <f>beta_0+beta_1*((1-EXP(-lambda*K57))/(lambda*K57))+beta_2*((1-EXP(-lambda*K57))/(lambda*K57)-EXP(-lambda*K57))</f>
        <v>4.1357597506761614</v>
      </c>
      <c r="N57" s="39"/>
      <c r="O57" s="39"/>
      <c r="P57" s="39"/>
      <c r="Q57" s="39">
        <v>0</v>
      </c>
      <c r="V57" s="1"/>
      <c r="W57" s="1"/>
      <c r="X57" s="1"/>
      <c r="Y57" s="1"/>
    </row>
    <row r="58" spans="9:25" x14ac:dyDescent="0.2">
      <c r="I58" s="4">
        <v>1</v>
      </c>
      <c r="J58" s="7">
        <f t="shared" si="22"/>
        <v>10</v>
      </c>
      <c r="K58" s="7">
        <f>J58-1/12</f>
        <v>9.9166666666666661</v>
      </c>
      <c r="L58" s="7">
        <f>L$57+$I58*(L$69-L$57)/12</f>
        <v>4.1273575108963154</v>
      </c>
      <c r="M58" s="7">
        <f>M$57+$I58*(M$69-M$57)/12</f>
        <v>4.121675939683799</v>
      </c>
      <c r="N58" s="39">
        <f>L57%/12</f>
        <v>3.451361887878682E-3</v>
      </c>
      <c r="O58" s="39">
        <f ca="1">PRICE(TODAY(), TODAY()+K58*365.25, L57%,M58%,100,1)/100-1</f>
        <v>1.5346042390491643E-3</v>
      </c>
      <c r="P58" s="39">
        <f ca="1">N58+O58</f>
        <v>4.9859661269278464E-3</v>
      </c>
      <c r="Q58" s="39">
        <f ca="1">(1+Q57)*(1+P58)-1</f>
        <v>4.9859661269278099E-3</v>
      </c>
      <c r="V58" s="1"/>
      <c r="W58" s="1"/>
      <c r="X58" s="1"/>
      <c r="Y58" s="1"/>
    </row>
    <row r="59" spans="9:25" x14ac:dyDescent="0.2">
      <c r="I59" s="4">
        <v>2</v>
      </c>
      <c r="J59" s="7">
        <f t="shared" si="22"/>
        <v>10</v>
      </c>
      <c r="K59" s="7">
        <f t="shared" ref="K59:K69" si="23">J59-1/12</f>
        <v>9.9166666666666661</v>
      </c>
      <c r="L59" s="7">
        <f t="shared" ref="L59:M68" si="24">L$57+$I59*(L$69-L$57)/12</f>
        <v>4.1130807563382126</v>
      </c>
      <c r="M59" s="7">
        <f t="shared" si="24"/>
        <v>4.1075921286914365</v>
      </c>
      <c r="N59" s="39">
        <f t="shared" ref="N59:N69" si="25">L58%/12</f>
        <v>3.4394645924135958E-3</v>
      </c>
      <c r="O59" s="39">
        <f ca="1">PRICE(TODAY(), TODAY()+K59*365.25, L58%,M59%,100,1)/100-1</f>
        <v>1.5206835269860886E-3</v>
      </c>
      <c r="P59" s="39">
        <f t="shared" ref="P59:P69" ca="1" si="26">N59+O59</f>
        <v>4.9601481193996839E-3</v>
      </c>
      <c r="Q59" s="39">
        <f t="shared" ref="Q59:Q69" ca="1" si="27">(1+Q58)*(1+P59)-1</f>
        <v>9.9708453768354577E-3</v>
      </c>
      <c r="V59" s="1"/>
      <c r="W59" s="1"/>
      <c r="X59" s="1"/>
      <c r="Y59" s="1"/>
    </row>
    <row r="60" spans="9:25" x14ac:dyDescent="0.2">
      <c r="I60" s="4">
        <v>3</v>
      </c>
      <c r="J60" s="7">
        <f t="shared" si="22"/>
        <v>10</v>
      </c>
      <c r="K60" s="7">
        <f t="shared" si="23"/>
        <v>9.9166666666666661</v>
      </c>
      <c r="L60" s="7">
        <f t="shared" si="24"/>
        <v>4.0988040017801097</v>
      </c>
      <c r="M60" s="7">
        <f t="shared" si="24"/>
        <v>4.0935083176990741</v>
      </c>
      <c r="N60" s="39">
        <f t="shared" si="25"/>
        <v>3.4275672969485103E-3</v>
      </c>
      <c r="O60" s="39">
        <f t="shared" ref="O60:O69" ca="1" si="28">PRICE(TODAY(), TODAY()+K60*365.25, L59%,M60%,100,1)/100-1</f>
        <v>1.5067410682294557E-3</v>
      </c>
      <c r="P60" s="39">
        <f t="shared" ca="1" si="26"/>
        <v>4.9343083651779661E-3</v>
      </c>
      <c r="Q60" s="39">
        <f t="shared" ca="1" si="27"/>
        <v>1.4954352967764262E-2</v>
      </c>
      <c r="V60" s="1"/>
      <c r="W60" s="1"/>
      <c r="X60" s="1"/>
      <c r="Y60" s="1"/>
    </row>
    <row r="61" spans="9:25" x14ac:dyDescent="0.2">
      <c r="I61" s="4">
        <v>4</v>
      </c>
      <c r="J61" s="7">
        <f t="shared" si="22"/>
        <v>10</v>
      </c>
      <c r="K61" s="7">
        <f t="shared" si="23"/>
        <v>9.9166666666666661</v>
      </c>
      <c r="L61" s="7">
        <f t="shared" si="24"/>
        <v>4.084527247222006</v>
      </c>
      <c r="M61" s="7">
        <f t="shared" si="24"/>
        <v>4.0794245067067125</v>
      </c>
      <c r="N61" s="39">
        <f t="shared" si="25"/>
        <v>3.4156700014834249E-3</v>
      </c>
      <c r="O61" s="39">
        <f t="shared" ca="1" si="28"/>
        <v>1.4927768303107936E-3</v>
      </c>
      <c r="P61" s="39">
        <f t="shared" ca="1" si="26"/>
        <v>4.9084468317942189E-3</v>
      </c>
      <c r="Q61" s="39">
        <f t="shared" ca="1" si="27"/>
        <v>1.9936202446004581E-2</v>
      </c>
      <c r="V61" s="1"/>
      <c r="W61" s="1"/>
      <c r="X61" s="1"/>
      <c r="Y61" s="1"/>
    </row>
    <row r="62" spans="9:25" x14ac:dyDescent="0.2">
      <c r="I62" s="4">
        <v>5</v>
      </c>
      <c r="J62" s="7">
        <f t="shared" si="22"/>
        <v>10</v>
      </c>
      <c r="K62" s="7">
        <f t="shared" si="23"/>
        <v>9.9166666666666661</v>
      </c>
      <c r="L62" s="7">
        <f t="shared" si="24"/>
        <v>4.0702504926639032</v>
      </c>
      <c r="M62" s="7">
        <f t="shared" si="24"/>
        <v>4.0653406957143501</v>
      </c>
      <c r="N62" s="39">
        <f t="shared" si="25"/>
        <v>3.4037727060183382E-3</v>
      </c>
      <c r="O62" s="39">
        <f t="shared" ca="1" si="28"/>
        <v>1.478790780698791E-3</v>
      </c>
      <c r="P62" s="39">
        <f t="shared" ca="1" si="26"/>
        <v>4.8825634867171296E-3</v>
      </c>
      <c r="Q62" s="39">
        <f t="shared" ca="1" si="27"/>
        <v>2.4916105706848324E-2</v>
      </c>
      <c r="V62" s="1"/>
      <c r="W62" s="1"/>
      <c r="X62" s="1"/>
      <c r="Y62" s="1"/>
    </row>
    <row r="63" spans="9:25" x14ac:dyDescent="0.2">
      <c r="I63" s="4">
        <v>6</v>
      </c>
      <c r="J63" s="7">
        <f t="shared" si="22"/>
        <v>10</v>
      </c>
      <c r="K63" s="7">
        <f t="shared" si="23"/>
        <v>9.9166666666666661</v>
      </c>
      <c r="L63" s="7">
        <f t="shared" si="24"/>
        <v>4.0559737381058003</v>
      </c>
      <c r="M63" s="7">
        <f t="shared" si="24"/>
        <v>4.0512568847219876</v>
      </c>
      <c r="N63" s="39">
        <f t="shared" si="25"/>
        <v>3.3918754105532523E-3</v>
      </c>
      <c r="O63" s="39">
        <f t="shared" ca="1" si="28"/>
        <v>1.4647828868137314E-3</v>
      </c>
      <c r="P63" s="39">
        <f t="shared" ca="1" si="26"/>
        <v>4.8566582973669833E-3</v>
      </c>
      <c r="Q63" s="39">
        <f t="shared" ca="1" si="27"/>
        <v>2.9893773015734704E-2</v>
      </c>
      <c r="V63" s="1"/>
      <c r="W63" s="1"/>
      <c r="X63" s="1"/>
      <c r="Y63" s="1"/>
    </row>
    <row r="64" spans="9:25" x14ac:dyDescent="0.2">
      <c r="I64" s="4">
        <v>7</v>
      </c>
      <c r="J64" s="7">
        <f t="shared" si="22"/>
        <v>10</v>
      </c>
      <c r="K64" s="7">
        <f t="shared" si="23"/>
        <v>9.9166666666666661</v>
      </c>
      <c r="L64" s="7">
        <f t="shared" si="24"/>
        <v>4.0416969835476975</v>
      </c>
      <c r="M64" s="7">
        <f t="shared" si="24"/>
        <v>4.0371730737296252</v>
      </c>
      <c r="N64" s="39">
        <f t="shared" si="25"/>
        <v>3.3799781150881669E-3</v>
      </c>
      <c r="O64" s="39">
        <f t="shared" ca="1" si="28"/>
        <v>1.4507531160150577E-3</v>
      </c>
      <c r="P64" s="39">
        <f t="shared" ca="1" si="26"/>
        <v>4.8307312311032247E-3</v>
      </c>
      <c r="Q64" s="39">
        <f t="shared" ca="1" si="27"/>
        <v>3.4868913029760584E-2</v>
      </c>
      <c r="V64" s="1"/>
      <c r="W64" s="1"/>
      <c r="X64" s="1"/>
      <c r="Y64" s="1"/>
    </row>
    <row r="65" spans="9:25" x14ac:dyDescent="0.2">
      <c r="I65" s="4">
        <v>8</v>
      </c>
      <c r="J65" s="7">
        <f t="shared" si="22"/>
        <v>10</v>
      </c>
      <c r="K65" s="7">
        <f t="shared" si="23"/>
        <v>9.9166666666666661</v>
      </c>
      <c r="L65" s="7">
        <f t="shared" si="24"/>
        <v>4.0274202289895946</v>
      </c>
      <c r="M65" s="7">
        <f t="shared" si="24"/>
        <v>4.0230892627372628</v>
      </c>
      <c r="N65" s="39">
        <f t="shared" si="25"/>
        <v>3.3680808196230815E-3</v>
      </c>
      <c r="O65" s="39">
        <f t="shared" ca="1" si="28"/>
        <v>1.4367014356058139E-3</v>
      </c>
      <c r="P65" s="39">
        <f t="shared" ca="1" si="26"/>
        <v>4.8047822552288958E-3</v>
      </c>
      <c r="Q65" s="39">
        <f t="shared" ca="1" si="27"/>
        <v>3.9841232819573857E-2</v>
      </c>
      <c r="V65" s="1"/>
      <c r="W65" s="1"/>
      <c r="X65" s="1"/>
      <c r="Y65" s="1"/>
    </row>
    <row r="66" spans="9:25" x14ac:dyDescent="0.2">
      <c r="I66" s="4">
        <v>9</v>
      </c>
      <c r="J66" s="7">
        <f t="shared" si="22"/>
        <v>10</v>
      </c>
      <c r="K66" s="7">
        <f t="shared" si="23"/>
        <v>9.9166666666666661</v>
      </c>
      <c r="L66" s="7">
        <f t="shared" si="24"/>
        <v>4.0131434744314909</v>
      </c>
      <c r="M66" s="7">
        <f t="shared" si="24"/>
        <v>4.0090054517449012</v>
      </c>
      <c r="N66" s="39">
        <f t="shared" si="25"/>
        <v>3.3561835241579956E-3</v>
      </c>
      <c r="O66" s="39">
        <f t="shared" ca="1" si="28"/>
        <v>1.4226278128390835E-3</v>
      </c>
      <c r="P66" s="39">
        <f t="shared" ca="1" si="26"/>
        <v>4.7788113369970787E-3</v>
      </c>
      <c r="Q66" s="39">
        <f t="shared" ca="1" si="27"/>
        <v>4.4810437891648958E-2</v>
      </c>
      <c r="V66" s="1"/>
      <c r="W66" s="1"/>
      <c r="X66" s="1"/>
      <c r="Y66" s="1"/>
    </row>
    <row r="67" spans="9:25" x14ac:dyDescent="0.2">
      <c r="I67" s="4">
        <v>10</v>
      </c>
      <c r="J67" s="7">
        <f t="shared" si="22"/>
        <v>10</v>
      </c>
      <c r="K67" s="7">
        <f t="shared" si="23"/>
        <v>9.9166666666666661</v>
      </c>
      <c r="L67" s="7">
        <f t="shared" si="24"/>
        <v>3.9988667198733885</v>
      </c>
      <c r="M67" s="7">
        <f t="shared" si="24"/>
        <v>3.9949216407525383</v>
      </c>
      <c r="N67" s="39">
        <f t="shared" si="25"/>
        <v>3.3442862286929089E-3</v>
      </c>
      <c r="O67" s="39">
        <f t="shared" ca="1" si="28"/>
        <v>1.4085322149031132E-3</v>
      </c>
      <c r="P67" s="39">
        <f t="shared" ca="1" si="26"/>
        <v>4.7528184435960217E-3</v>
      </c>
      <c r="Q67" s="39">
        <f t="shared" ca="1" si="27"/>
        <v>4.9776232210922089E-2</v>
      </c>
      <c r="V67" s="1"/>
      <c r="W67" s="1"/>
      <c r="X67" s="1"/>
      <c r="Y67" s="1"/>
    </row>
    <row r="68" spans="9:25" x14ac:dyDescent="0.2">
      <c r="I68" s="4">
        <v>11</v>
      </c>
      <c r="J68" s="7">
        <f t="shared" si="22"/>
        <v>10</v>
      </c>
      <c r="K68" s="7">
        <f t="shared" si="23"/>
        <v>9.9166666666666661</v>
      </c>
      <c r="L68" s="7">
        <f t="shared" si="24"/>
        <v>3.9845899653152852</v>
      </c>
      <c r="M68" s="7">
        <f t="shared" si="24"/>
        <v>3.9808378297601763</v>
      </c>
      <c r="N68" s="39">
        <f t="shared" si="25"/>
        <v>3.3323889332278235E-3</v>
      </c>
      <c r="O68" s="39">
        <f t="shared" ca="1" si="28"/>
        <v>1.3944146089392984E-3</v>
      </c>
      <c r="P68" s="39">
        <f t="shared" ca="1" si="26"/>
        <v>4.7268035421671219E-3</v>
      </c>
      <c r="Q68" s="39">
        <f t="shared" ca="1" si="27"/>
        <v>5.4738318223819471E-2</v>
      </c>
      <c r="V68" s="1"/>
      <c r="W68" s="1"/>
      <c r="X68" s="1"/>
      <c r="Y68" s="1"/>
    </row>
    <row r="69" spans="9:25" x14ac:dyDescent="0.2">
      <c r="I69" s="4">
        <v>12</v>
      </c>
      <c r="J69" s="7">
        <f t="shared" si="22"/>
        <v>10</v>
      </c>
      <c r="K69" s="7">
        <f t="shared" si="23"/>
        <v>9.9166666666666661</v>
      </c>
      <c r="L69" s="42">
        <f>beta_0_scen+beta_1_scen*((1-EXP(-lambda*J69))/(lambda*J69))+beta_2_scen*((1-EXP(-lambda*J69))/(lambda*J69)-EXP(-lambda*J69))</f>
        <v>3.9703132107571824</v>
      </c>
      <c r="M69" s="42">
        <f>beta_0_scen+beta_1_scen*((1-EXP(-lambda*K69))/(lambda*K69))+beta_2_scen*((1-EXP(-lambda*K69))/(lambda*K69)-EXP(-lambda*K69))</f>
        <v>3.9667540187678139</v>
      </c>
      <c r="N69" s="39">
        <f t="shared" si="25"/>
        <v>3.3204916377627381E-3</v>
      </c>
      <c r="O69" s="39">
        <f t="shared" ca="1" si="28"/>
        <v>1.3802749620261956E-3</v>
      </c>
      <c r="P69" s="39">
        <f t="shared" ca="1" si="26"/>
        <v>4.7007665997889341E-3</v>
      </c>
      <c r="Q69" s="41">
        <f t="shared" ca="1" si="27"/>
        <v>5.9696396881643521E-2</v>
      </c>
      <c r="V69" s="1"/>
      <c r="W69" s="1"/>
      <c r="X69" s="1"/>
      <c r="Y69" s="1"/>
    </row>
    <row r="70" spans="9:25" x14ac:dyDescent="0.2">
      <c r="M70" s="1"/>
      <c r="N70" s="1"/>
      <c r="O70" s="1"/>
      <c r="V70" s="1"/>
      <c r="W70" s="1"/>
      <c r="X70" s="1"/>
      <c r="Y70" s="1"/>
    </row>
    <row r="71" spans="9:25" x14ac:dyDescent="0.2">
      <c r="M71" s="1"/>
      <c r="N71" s="1"/>
      <c r="O71" s="1"/>
      <c r="V71" s="1"/>
      <c r="W71" s="1"/>
      <c r="X71" s="1"/>
      <c r="Y71" s="1"/>
    </row>
    <row r="72" spans="9:25" x14ac:dyDescent="0.2">
      <c r="M72" s="1"/>
      <c r="N72" s="1"/>
      <c r="O72" s="1"/>
      <c r="V72" s="1"/>
      <c r="W72" s="1"/>
      <c r="X72" s="1"/>
      <c r="Y72" s="1"/>
    </row>
    <row r="73" spans="9:25" x14ac:dyDescent="0.2">
      <c r="M73" s="1"/>
      <c r="N73" s="1"/>
      <c r="O73" s="1"/>
      <c r="V73" s="1"/>
      <c r="W73" s="1"/>
      <c r="X73" s="1"/>
      <c r="Y73" s="1"/>
    </row>
    <row r="74" spans="9:25" x14ac:dyDescent="0.2">
      <c r="M74" s="1"/>
      <c r="N74" s="1"/>
      <c r="O74" s="1"/>
      <c r="V74" s="1"/>
      <c r="W74" s="1"/>
      <c r="X74" s="1"/>
      <c r="Y74" s="1"/>
    </row>
    <row r="75" spans="9:25" x14ac:dyDescent="0.2">
      <c r="M75" s="1"/>
      <c r="N75" s="1"/>
      <c r="O75" s="1"/>
      <c r="V75" s="1"/>
      <c r="W75" s="1"/>
      <c r="X75" s="1"/>
      <c r="Y75" s="1"/>
    </row>
    <row r="76" spans="9:25" x14ac:dyDescent="0.2">
      <c r="M76" s="1"/>
      <c r="N76" s="1"/>
      <c r="O76" s="1"/>
      <c r="V76" s="1"/>
      <c r="W76" s="1"/>
      <c r="X76" s="1"/>
      <c r="Y76" s="1"/>
    </row>
    <row r="77" spans="9:25" x14ac:dyDescent="0.2">
      <c r="M77" s="1"/>
      <c r="N77" s="1"/>
      <c r="O77" s="1"/>
      <c r="V77" s="1"/>
      <c r="W77" s="1"/>
      <c r="X77" s="1"/>
      <c r="Y77" s="1"/>
    </row>
    <row r="78" spans="9:25" x14ac:dyDescent="0.2">
      <c r="M78" s="1"/>
      <c r="N78" s="1"/>
      <c r="O78" s="1"/>
      <c r="V78" s="1"/>
      <c r="W78" s="1"/>
      <c r="X78" s="1"/>
      <c r="Y78" s="1"/>
    </row>
    <row r="79" spans="9:25" x14ac:dyDescent="0.2">
      <c r="M79" s="1"/>
      <c r="N79" s="1"/>
      <c r="O79" s="1"/>
      <c r="V79" s="1"/>
      <c r="W79" s="1"/>
      <c r="X79" s="1"/>
      <c r="Y79" s="1"/>
    </row>
    <row r="80" spans="9:25" x14ac:dyDescent="0.2">
      <c r="M80" s="1"/>
      <c r="N80" s="1"/>
      <c r="O80" s="1"/>
      <c r="V80" s="1"/>
      <c r="W80" s="1"/>
      <c r="X80" s="1"/>
      <c r="Y80" s="1"/>
    </row>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fit_scenario_curve">
                <anchor moveWithCells="1" sizeWithCells="1">
                  <from>
                    <xdr:col>17</xdr:col>
                    <xdr:colOff>812800</xdr:colOff>
                    <xdr:row>2</xdr:row>
                    <xdr:rowOff>114300</xdr:rowOff>
                  </from>
                  <to>
                    <xdr:col>19</xdr:col>
                    <xdr:colOff>38100</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2:O124"/>
  <sheetViews>
    <sheetView showGridLines="0" workbookViewId="0">
      <selection activeCell="C16" sqref="C16"/>
    </sheetView>
  </sheetViews>
  <sheetFormatPr baseColWidth="10" defaultColWidth="8.83203125" defaultRowHeight="15" x14ac:dyDescent="0.2"/>
  <cols>
    <col min="1" max="1" width="8.83203125" style="4"/>
    <col min="2" max="2" width="10.1640625" style="4" bestFit="1" customWidth="1"/>
    <col min="3" max="16384" width="8.83203125" style="4"/>
  </cols>
  <sheetData>
    <row r="2" spans="2:15" x14ac:dyDescent="0.2">
      <c r="B2" s="43">
        <v>45933</v>
      </c>
    </row>
    <row r="3" spans="2:15" x14ac:dyDescent="0.2">
      <c r="B3" s="4" t="s">
        <v>3</v>
      </c>
      <c r="C3" s="4" t="s">
        <v>42</v>
      </c>
      <c r="D3" s="4" t="s">
        <v>41</v>
      </c>
      <c r="E3" s="4" t="s">
        <v>2</v>
      </c>
      <c r="F3" s="4" t="s">
        <v>1</v>
      </c>
      <c r="G3" s="4" t="s">
        <v>0</v>
      </c>
      <c r="J3" s="4" t="s">
        <v>12</v>
      </c>
      <c r="K3" s="4" t="s">
        <v>16</v>
      </c>
      <c r="M3" s="4" t="s">
        <v>3</v>
      </c>
      <c r="N3" s="4" t="s">
        <v>33</v>
      </c>
      <c r="O3" s="4" t="s">
        <v>34</v>
      </c>
    </row>
    <row r="4" spans="2:15" x14ac:dyDescent="0.2">
      <c r="B4" s="4">
        <v>0.25</v>
      </c>
      <c r="C4" s="4">
        <v>1.732</v>
      </c>
      <c r="D4" s="4">
        <v>1.915</v>
      </c>
      <c r="E4" s="4">
        <v>0.46679999999999999</v>
      </c>
      <c r="F4" s="4">
        <v>4.1260000000000003</v>
      </c>
      <c r="G4" s="4">
        <v>3.9508999999999999</v>
      </c>
      <c r="I4" s="4">
        <f t="shared" ref="I4:I12" si="0">B4</f>
        <v>0.25</v>
      </c>
      <c r="J4" s="4">
        <f>IF(NS!F7,NS!C7,NA())</f>
        <v>3.9508999999999999</v>
      </c>
      <c r="K4" s="4" t="e">
        <f>IF(ISNA(J4),NS!C7,NA())</f>
        <v>#N/A</v>
      </c>
      <c r="M4" s="24">
        <f t="array" ref="M4:M124">ns_maturities</f>
        <v>2.7000000000000001E-3</v>
      </c>
      <c r="N4" s="24">
        <f t="array" ref="N4:N124">ns_yields</f>
        <v>4.0223564276355948</v>
      </c>
      <c r="O4" s="24">
        <f t="shared" ref="O4:O35" si="1">beta_0_scen+beta_1_scen*((1-EXP(-lambda*M4))/(lambda*M4))+beta_2_scen*((1-EXP(-lambda*M4))/(lambda*M4)-EXP(-lambda*M4))</f>
        <v>3.376013763115477</v>
      </c>
    </row>
    <row r="5" spans="2:15" x14ac:dyDescent="0.2">
      <c r="B5" s="4">
        <v>0.5</v>
      </c>
      <c r="C5" s="4">
        <v>1.8879999999999999</v>
      </c>
      <c r="D5" s="4">
        <v>1.992</v>
      </c>
      <c r="E5" s="4">
        <v>0.53400000000000003</v>
      </c>
      <c r="F5" s="4">
        <v>4.0910000000000002</v>
      </c>
      <c r="G5" s="4">
        <v>3.8212999999999999</v>
      </c>
      <c r="I5" s="4">
        <f t="shared" si="0"/>
        <v>0.5</v>
      </c>
      <c r="J5" s="4">
        <f>IF(NS!F8,NS!C8,NA())</f>
        <v>3.8212999999999999</v>
      </c>
      <c r="K5" s="4" t="e">
        <f>IF(ISNA(J5),NS!C8,NA())</f>
        <v>#N/A</v>
      </c>
      <c r="M5" s="24">
        <v>0.25</v>
      </c>
      <c r="N5" s="24">
        <v>3.914750586768164</v>
      </c>
      <c r="O5" s="24">
        <f t="shared" si="1"/>
        <v>3.3709267396202143</v>
      </c>
    </row>
    <row r="6" spans="2:15" x14ac:dyDescent="0.2">
      <c r="B6" s="4">
        <v>1</v>
      </c>
      <c r="C6" s="4">
        <v>1.9530000000000001</v>
      </c>
      <c r="D6" s="4">
        <v>2.09</v>
      </c>
      <c r="E6" s="4">
        <v>0.78</v>
      </c>
      <c r="F6" s="4">
        <v>3.871</v>
      </c>
      <c r="G6" s="4">
        <v>3.6339000000000001</v>
      </c>
      <c r="I6" s="4">
        <f t="shared" si="0"/>
        <v>1</v>
      </c>
      <c r="J6" s="4">
        <f>IF(NS!F9,NS!C9,NA())</f>
        <v>3.6339000000000001</v>
      </c>
      <c r="K6" s="4" t="e">
        <f>IF(ISNA(J6),NS!C9,NA())</f>
        <v>#N/A</v>
      </c>
      <c r="M6" s="24">
        <v>0.5</v>
      </c>
      <c r="N6" s="24">
        <v>3.8250970131489894</v>
      </c>
      <c r="O6" s="24">
        <f t="shared" si="1"/>
        <v>3.3706645487374551</v>
      </c>
    </row>
    <row r="7" spans="2:15" x14ac:dyDescent="0.2">
      <c r="B7" s="4">
        <v>2</v>
      </c>
      <c r="C7" s="4">
        <v>2.0190000000000001</v>
      </c>
      <c r="D7" s="4">
        <v>2.2389999999999999</v>
      </c>
      <c r="E7" s="4">
        <v>0.94199999999999995</v>
      </c>
      <c r="F7" s="4">
        <v>3.9660000000000002</v>
      </c>
      <c r="G7" s="4">
        <v>3.5758999999999999</v>
      </c>
      <c r="I7" s="4">
        <f t="shared" si="0"/>
        <v>2</v>
      </c>
      <c r="J7" s="4">
        <f>IF(NS!F10,NS!C10,NA())</f>
        <v>3.5758999999999999</v>
      </c>
      <c r="K7" s="4" t="e">
        <f>IF(ISNA(J7),NS!C10,NA())</f>
        <v>#N/A</v>
      </c>
      <c r="M7" s="24">
        <v>0.75</v>
      </c>
      <c r="N7" s="24">
        <v>3.7522314685494669</v>
      </c>
      <c r="O7" s="24">
        <f t="shared" si="1"/>
        <v>3.3745578129764091</v>
      </c>
    </row>
    <row r="8" spans="2:15" x14ac:dyDescent="0.2">
      <c r="B8" s="4">
        <v>3</v>
      </c>
      <c r="C8" s="4">
        <v>2.0939999999999999</v>
      </c>
      <c r="D8" s="4">
        <v>2.3610000000000002</v>
      </c>
      <c r="E8" s="4">
        <v>1.026</v>
      </c>
      <c r="F8" s="4">
        <v>3.9620000000000002</v>
      </c>
      <c r="G8" s="4">
        <v>3.5916999999999999</v>
      </c>
      <c r="I8" s="4">
        <f t="shared" si="0"/>
        <v>3</v>
      </c>
      <c r="J8" s="4">
        <f>IF(NS!F11,NS!C11,NA())</f>
        <v>3.5916999999999999</v>
      </c>
      <c r="K8" s="4" t="e">
        <f>IF(ISNA(J8),NS!C11,NA())</f>
        <v>#N/A</v>
      </c>
      <c r="M8" s="24">
        <v>1</v>
      </c>
      <c r="N8" s="24">
        <v>3.6939878494590559</v>
      </c>
      <c r="O8" s="24">
        <f t="shared" si="1"/>
        <v>3.3819470977022865</v>
      </c>
    </row>
    <row r="9" spans="2:15" x14ac:dyDescent="0.2">
      <c r="B9" s="4">
        <v>5</v>
      </c>
      <c r="C9" s="4">
        <v>2.302</v>
      </c>
      <c r="D9" s="4">
        <v>2.7440000000000002</v>
      </c>
      <c r="E9" s="4">
        <v>1.224</v>
      </c>
      <c r="F9" s="4">
        <v>4.1180000000000003</v>
      </c>
      <c r="G9" s="4">
        <v>3.7149000000000001</v>
      </c>
      <c r="I9" s="4">
        <f t="shared" si="0"/>
        <v>5</v>
      </c>
      <c r="J9" s="4">
        <f>IF(NS!F12,NS!C12,NA())</f>
        <v>3.7149000000000001</v>
      </c>
      <c r="K9" s="4" t="e">
        <f>IF(ISNA(J9),NS!C12,NA())</f>
        <v>#N/A</v>
      </c>
      <c r="M9" s="24">
        <v>1.25</v>
      </c>
      <c r="N9" s="24">
        <v>3.6484542861249176</v>
      </c>
      <c r="O9" s="24">
        <f t="shared" si="1"/>
        <v>3.392256810119052</v>
      </c>
    </row>
    <row r="10" spans="2:15" x14ac:dyDescent="0.2">
      <c r="B10" s="4">
        <v>7</v>
      </c>
      <c r="C10" s="4">
        <v>2.4380000000000002</v>
      </c>
      <c r="D10" s="4">
        <v>3.109</v>
      </c>
      <c r="E10" s="4">
        <v>1.47</v>
      </c>
      <c r="F10" s="4">
        <v>4.2759999999999998</v>
      </c>
      <c r="G10" s="4">
        <v>3.9033000000000002</v>
      </c>
      <c r="I10" s="4">
        <f t="shared" si="0"/>
        <v>7</v>
      </c>
      <c r="J10" s="4">
        <f>IF(NS!F13,NS!C13,NA())</f>
        <v>3.9033000000000002</v>
      </c>
      <c r="K10" s="4" t="e">
        <f>IF(ISNA(J10),NS!C13,NA())</f>
        <v>#N/A</v>
      </c>
      <c r="M10" s="24">
        <v>1.5</v>
      </c>
      <c r="N10" s="24">
        <v>3.6139444498770694</v>
      </c>
      <c r="O10" s="24">
        <f t="shared" si="1"/>
        <v>3.4049853253898896</v>
      </c>
    </row>
    <row r="11" spans="2:15" x14ac:dyDescent="0.2">
      <c r="B11" s="4">
        <v>10</v>
      </c>
      <c r="C11" s="4">
        <v>2.698</v>
      </c>
      <c r="D11" s="4">
        <v>3.5110000000000001</v>
      </c>
      <c r="E11" s="4">
        <v>1.6619999999999999</v>
      </c>
      <c r="F11" s="4">
        <v>4.6900000000000004</v>
      </c>
      <c r="G11" s="4">
        <v>4.1192000000000002</v>
      </c>
      <c r="I11" s="4">
        <f t="shared" si="0"/>
        <v>10</v>
      </c>
      <c r="J11" s="4">
        <f>IF(NS!F14,NS!C14,NA())</f>
        <v>4.1192000000000002</v>
      </c>
      <c r="K11" s="4" t="e">
        <f>IF(ISNA(J11),NS!C14,NA())</f>
        <v>#N/A</v>
      </c>
      <c r="M11" s="24">
        <v>1.75</v>
      </c>
      <c r="N11" s="24">
        <v>3.5889720342425084</v>
      </c>
      <c r="O11" s="24">
        <f t="shared" si="1"/>
        <v>3.4196962342216315</v>
      </c>
    </row>
    <row r="12" spans="2:15" x14ac:dyDescent="0.2">
      <c r="B12" s="4">
        <v>30</v>
      </c>
      <c r="C12" s="4">
        <v>3.2669999999999999</v>
      </c>
      <c r="D12" s="4">
        <v>4.4400000000000004</v>
      </c>
      <c r="E12" s="4">
        <v>3.165</v>
      </c>
      <c r="F12" s="4">
        <v>5.5010000000000003</v>
      </c>
      <c r="G12" s="4">
        <v>4.7114000000000003</v>
      </c>
      <c r="I12" s="4">
        <f t="shared" si="0"/>
        <v>30</v>
      </c>
      <c r="J12" s="4">
        <f>IF(NS!F15,NS!C15,NA())</f>
        <v>4.7114000000000003</v>
      </c>
      <c r="K12" s="4" t="e">
        <f>IF(ISNA(J12),NS!C15,NA())</f>
        <v>#N/A</v>
      </c>
      <c r="M12" s="24">
        <v>2</v>
      </c>
      <c r="N12" s="24">
        <v>3.572228062873235</v>
      </c>
      <c r="O12" s="24">
        <f t="shared" si="1"/>
        <v>3.4360105870767588</v>
      </c>
    </row>
    <row r="13" spans="2:15" x14ac:dyDescent="0.2">
      <c r="M13" s="24">
        <v>2.25</v>
      </c>
      <c r="N13" s="24">
        <v>3.5625607149653957</v>
      </c>
      <c r="O13" s="24">
        <f t="shared" si="1"/>
        <v>3.4536000239018163</v>
      </c>
    </row>
    <row r="14" spans="2:15" x14ac:dyDescent="0.2">
      <c r="M14" s="24">
        <v>2.5</v>
      </c>
      <c r="N14" s="24">
        <v>3.5589573924336144</v>
      </c>
      <c r="O14" s="24">
        <f t="shared" si="1"/>
        <v>3.4721806904895924</v>
      </c>
    </row>
    <row r="15" spans="2:15" x14ac:dyDescent="0.2">
      <c r="B15" s="4">
        <v>5</v>
      </c>
      <c r="C15" s="4">
        <v>4</v>
      </c>
      <c r="M15" s="24">
        <v>2.75</v>
      </c>
      <c r="N15" s="24">
        <v>3.5605287830633925</v>
      </c>
      <c r="O15" s="24">
        <f t="shared" si="1"/>
        <v>3.4915078534864654</v>
      </c>
    </row>
    <row r="16" spans="2:15" x14ac:dyDescent="0.2">
      <c r="B16" s="4" t="str" cm="1">
        <f t="array" ref="B16">INDEX(country_list,country_ix,1)</f>
        <v>US</v>
      </c>
      <c r="C16" s="4" cm="1">
        <f t="array" ref="C16">INDEX(hump_choices,hump_ix,1)</f>
        <v>4</v>
      </c>
      <c r="D16" s="4" cm="1">
        <f t="array" ref="D16">INDEX(lambdas,hump_ix,1)</f>
        <v>0.44833519999999999</v>
      </c>
      <c r="M16" s="24">
        <v>3</v>
      </c>
      <c r="N16" s="24">
        <v>3.5664947005857495</v>
      </c>
      <c r="O16" s="24">
        <f t="shared" si="1"/>
        <v>3.5113711357606778</v>
      </c>
    </row>
    <row r="17" spans="2:15" x14ac:dyDescent="0.2">
      <c r="B17" s="4" t="str">
        <f t="array" ref="B17:B21">TRANSPOSE(C3:G3)</f>
        <v>DE</v>
      </c>
      <c r="C17" s="4">
        <v>1</v>
      </c>
      <c r="D17" s="4">
        <v>1.7932809999999999</v>
      </c>
      <c r="M17" s="24">
        <v>3.25</v>
      </c>
      <c r="N17" s="24">
        <v>3.5761715064504571</v>
      </c>
      <c r="O17" s="24">
        <f t="shared" si="1"/>
        <v>3.5315903024910948</v>
      </c>
    </row>
    <row r="18" spans="2:15" x14ac:dyDescent="0.2">
      <c r="B18" s="4" t="str">
        <v>IT</v>
      </c>
      <c r="C18" s="4">
        <v>2</v>
      </c>
      <c r="D18" s="4">
        <v>0.89664160000000004</v>
      </c>
      <c r="M18" s="24">
        <v>3.5</v>
      </c>
      <c r="N18" s="24">
        <v>3.5889609393286346</v>
      </c>
      <c r="O18" s="24">
        <f t="shared" si="1"/>
        <v>3.5520115360344429</v>
      </c>
    </row>
    <row r="19" spans="2:15" x14ac:dyDescent="0.2">
      <c r="B19" s="4" t="str">
        <v>JP</v>
      </c>
      <c r="C19" s="4">
        <v>3</v>
      </c>
      <c r="D19" s="4">
        <v>0.59776030000000002</v>
      </c>
      <c r="M19" s="24">
        <v>3.75</v>
      </c>
      <c r="N19" s="24">
        <v>3.6043401973296429</v>
      </c>
      <c r="O19" s="24">
        <f t="shared" si="1"/>
        <v>3.5725041444847827</v>
      </c>
    </row>
    <row r="20" spans="2:15" x14ac:dyDescent="0.2">
      <c r="B20" s="4" t="str">
        <v>UK</v>
      </c>
      <c r="C20" s="4">
        <v>4</v>
      </c>
      <c r="D20" s="4">
        <v>0.44833519999999999</v>
      </c>
      <c r="M20" s="24">
        <v>4</v>
      </c>
      <c r="N20" s="24">
        <v>3.6218531348191809</v>
      </c>
      <c r="O20" s="24">
        <f t="shared" si="1"/>
        <v>3.5929576549437341</v>
      </c>
    </row>
    <row r="21" spans="2:15" x14ac:dyDescent="0.2">
      <c r="B21" s="4" t="str">
        <v>US</v>
      </c>
      <c r="C21" s="4">
        <v>5</v>
      </c>
      <c r="D21" s="4">
        <v>0.3586819</v>
      </c>
      <c r="M21" s="24">
        <v>4.25</v>
      </c>
      <c r="N21" s="24">
        <v>3.6411024507963714</v>
      </c>
      <c r="O21" s="24">
        <f t="shared" si="1"/>
        <v>3.6132792479553455</v>
      </c>
    </row>
    <row r="22" spans="2:15" x14ac:dyDescent="0.2">
      <c r="C22" s="4">
        <v>7</v>
      </c>
      <c r="D22" s="4">
        <v>0.25619999999999998</v>
      </c>
      <c r="M22" s="24">
        <v>4.5</v>
      </c>
      <c r="N22" s="24">
        <v>3.6617427592250529</v>
      </c>
      <c r="O22" s="24">
        <f t="shared" si="1"/>
        <v>3.6333914943984631</v>
      </c>
    </row>
    <row r="23" spans="2:15" x14ac:dyDescent="0.2">
      <c r="C23" s="4">
        <v>10</v>
      </c>
      <c r="D23" s="4">
        <v>0.17934720000000001</v>
      </c>
      <c r="M23" s="24">
        <v>4.75</v>
      </c>
      <c r="N23" s="24">
        <v>3.6834744436945357</v>
      </c>
      <c r="O23" s="24">
        <f t="shared" si="1"/>
        <v>3.6532303604368437</v>
      </c>
    </row>
    <row r="24" spans="2:15" x14ac:dyDescent="0.2">
      <c r="M24" s="24">
        <v>5</v>
      </c>
      <c r="N24" s="24">
        <v>3.7060382094651985</v>
      </c>
      <c r="O24" s="24">
        <f t="shared" si="1"/>
        <v>3.6727434499611196</v>
      </c>
    </row>
    <row r="25" spans="2:15" x14ac:dyDescent="0.2">
      <c r="M25" s="24">
        <v>5.25</v>
      </c>
      <c r="N25" s="24">
        <v>3.7292102554747322</v>
      </c>
      <c r="O25" s="24">
        <f t="shared" si="1"/>
        <v>3.6918884573686208</v>
      </c>
    </row>
    <row r="26" spans="2:15" x14ac:dyDescent="0.2">
      <c r="M26" s="24">
        <v>5.5</v>
      </c>
      <c r="N26" s="24">
        <v>3.7527979973669492</v>
      </c>
      <c r="O26" s="24">
        <f t="shared" si="1"/>
        <v>3.7106318065630988</v>
      </c>
    </row>
    <row r="27" spans="2:15" x14ac:dyDescent="0.2">
      <c r="M27" s="24">
        <v>5.75</v>
      </c>
      <c r="N27" s="24">
        <v>3.7766362801685922</v>
      </c>
      <c r="O27" s="24">
        <f t="shared" si="1"/>
        <v>3.7289474547575892</v>
      </c>
    </row>
    <row r="28" spans="2:15" x14ac:dyDescent="0.2">
      <c r="M28" s="24">
        <v>6</v>
      </c>
      <c r="N28" s="24">
        <v>3.8005840259802666</v>
      </c>
      <c r="O28" s="24">
        <f t="shared" si="1"/>
        <v>3.7468158420666211</v>
      </c>
    </row>
    <row r="29" spans="2:15" x14ac:dyDescent="0.2">
      <c r="M29" s="24">
        <v>6.25</v>
      </c>
      <c r="N29" s="24">
        <v>3.8245212680544829</v>
      </c>
      <c r="O29" s="24">
        <f t="shared" si="1"/>
        <v>3.7642229700113319</v>
      </c>
    </row>
    <row r="30" spans="2:15" x14ac:dyDescent="0.2">
      <c r="M30" s="24">
        <v>6.5</v>
      </c>
      <c r="N30" s="24">
        <v>3.8483465279863163</v>
      </c>
      <c r="O30" s="24">
        <f t="shared" si="1"/>
        <v>3.7811595939618581</v>
      </c>
    </row>
    <row r="31" spans="2:15" x14ac:dyDescent="0.2">
      <c r="M31" s="24">
        <v>6.75</v>
      </c>
      <c r="N31" s="24">
        <v>3.8719744975110579</v>
      </c>
      <c r="O31" s="24">
        <f t="shared" si="1"/>
        <v>3.7976205162315662</v>
      </c>
    </row>
    <row r="32" spans="2:15" x14ac:dyDescent="0.2">
      <c r="M32" s="24">
        <v>7</v>
      </c>
      <c r="N32" s="24">
        <v>3.8953339906518893</v>
      </c>
      <c r="O32" s="24">
        <f t="shared" si="1"/>
        <v>3.8136039680403564</v>
      </c>
    </row>
    <row r="33" spans="13:15" x14ac:dyDescent="0.2">
      <c r="M33" s="24">
        <v>7.25</v>
      </c>
      <c r="N33" s="24">
        <v>3.9183661357452459</v>
      </c>
      <c r="O33" s="24">
        <f t="shared" si="1"/>
        <v>3.8291110698999526</v>
      </c>
    </row>
    <row r="34" spans="13:15" x14ac:dyDescent="0.2">
      <c r="M34" s="24">
        <v>7.5</v>
      </c>
      <c r="N34" s="24">
        <v>3.9410227802426423</v>
      </c>
      <c r="O34" s="24">
        <f t="shared" si="1"/>
        <v>3.8441453611612499</v>
      </c>
    </row>
    <row r="35" spans="13:15" x14ac:dyDescent="0.2">
      <c r="M35" s="24">
        <v>7.75</v>
      </c>
      <c r="N35" s="24">
        <v>3.9632650841900103</v>
      </c>
      <c r="O35" s="24">
        <f t="shared" si="1"/>
        <v>3.8587123905185532</v>
      </c>
    </row>
    <row r="36" spans="13:15" x14ac:dyDescent="0.2">
      <c r="M36" s="24">
        <v>8</v>
      </c>
      <c r="N36" s="24">
        <v>3.9850622809593048</v>
      </c>
      <c r="O36" s="24">
        <f t="shared" ref="O36:O67" si="2">beta_0_scen+beta_1_scen*((1-EXP(-lambda*M36))/(lambda*M36))+beta_2_scen*((1-EXP(-lambda*M36))/(lambda*M36)-EXP(-lambda*M36))</f>
        <v>3.8728193602027092</v>
      </c>
    </row>
    <row r="37" spans="13:15" x14ac:dyDescent="0.2">
      <c r="M37" s="24">
        <v>8.25</v>
      </c>
      <c r="N37" s="24">
        <v>4.0063905861877132</v>
      </c>
      <c r="O37" s="24">
        <f t="shared" si="2"/>
        <v>3.8864748174274886</v>
      </c>
    </row>
    <row r="38" spans="13:15" x14ac:dyDescent="0.2">
      <c r="M38" s="24">
        <v>8.5</v>
      </c>
      <c r="N38" s="24">
        <v>4.0272322379994039</v>
      </c>
      <c r="O38" s="24">
        <f t="shared" si="2"/>
        <v>3.8996883873927377</v>
      </c>
    </row>
    <row r="39" spans="13:15" x14ac:dyDescent="0.2">
      <c r="M39" s="24">
        <v>8.75</v>
      </c>
      <c r="N39" s="24">
        <v>4.0475746534714823</v>
      </c>
      <c r="O39" s="24">
        <f t="shared" si="2"/>
        <v>3.9124705428041109</v>
      </c>
    </row>
    <row r="40" spans="13:15" x14ac:dyDescent="0.2">
      <c r="M40" s="24">
        <v>9</v>
      </c>
      <c r="N40" s="24">
        <v>4.0674096879852755</v>
      </c>
      <c r="O40" s="24">
        <f t="shared" si="2"/>
        <v>3.9248324054517258</v>
      </c>
    </row>
    <row r="41" spans="13:15" x14ac:dyDescent="0.2">
      <c r="M41" s="24">
        <v>9.25</v>
      </c>
      <c r="N41" s="24">
        <v>4.0867329855986601</v>
      </c>
      <c r="O41" s="24">
        <f t="shared" si="2"/>
        <v>3.9367855759070167</v>
      </c>
    </row>
    <row r="42" spans="13:15" x14ac:dyDescent="0.2">
      <c r="M42" s="24">
        <v>9.5</v>
      </c>
      <c r="N42" s="24">
        <v>4.1055434099051009</v>
      </c>
      <c r="O42" s="24">
        <f t="shared" si="2"/>
        <v>3.948341987855724</v>
      </c>
    </row>
    <row r="43" spans="13:15" x14ac:dyDescent="0.2">
      <c r="M43" s="24">
        <v>9.75</v>
      </c>
      <c r="N43" s="24">
        <v>4.1238425460283628</v>
      </c>
      <c r="O43" s="24">
        <f t="shared" si="2"/>
        <v>3.9595137839917323</v>
      </c>
    </row>
    <row r="44" spans="13:15" x14ac:dyDescent="0.2">
      <c r="M44" s="24">
        <v>10</v>
      </c>
      <c r="N44" s="24">
        <v>4.1416342654544183</v>
      </c>
      <c r="O44" s="24">
        <f t="shared" si="2"/>
        <v>3.9703132107571824</v>
      </c>
    </row>
    <row r="45" spans="13:15" x14ac:dyDescent="0.2">
      <c r="M45" s="24">
        <v>10.25</v>
      </c>
      <c r="N45" s="24">
        <v>4.158924346338333</v>
      </c>
      <c r="O45" s="24">
        <f t="shared" si="2"/>
        <v>3.9807525295340391</v>
      </c>
    </row>
    <row r="46" spans="13:15" x14ac:dyDescent="0.2">
      <c r="M46" s="24">
        <v>10.5</v>
      </c>
      <c r="N46" s="24">
        <v>4.175720142756397</v>
      </c>
      <c r="O46" s="24">
        <f t="shared" si="2"/>
        <v>3.9908439421756388</v>
      </c>
    </row>
    <row r="47" spans="13:15" x14ac:dyDescent="0.2">
      <c r="M47" s="24">
        <v>10.75</v>
      </c>
      <c r="N47" s="24">
        <v>4.1920302971140453</v>
      </c>
      <c r="O47" s="24">
        <f t="shared" si="2"/>
        <v>4.0005995290177667</v>
      </c>
    </row>
    <row r="48" spans="13:15" x14ac:dyDescent="0.2">
      <c r="M48" s="24">
        <v>11</v>
      </c>
      <c r="N48" s="24">
        <v>4.2078644905780926</v>
      </c>
      <c r="O48" s="24">
        <f t="shared" si="2"/>
        <v>4.01003119773112</v>
      </c>
    </row>
    <row r="49" spans="13:15" x14ac:dyDescent="0.2">
      <c r="M49" s="24">
        <v>11.25</v>
      </c>
      <c r="N49" s="24">
        <v>4.2232332269867126</v>
      </c>
      <c r="O49" s="24">
        <f t="shared" si="2"/>
        <v>4.0191506415737832</v>
      </c>
    </row>
    <row r="50" spans="13:15" x14ac:dyDescent="0.2">
      <c r="M50" s="24">
        <v>11.5</v>
      </c>
      <c r="N50" s="24">
        <v>4.2381476462101881</v>
      </c>
      <c r="O50" s="24">
        <f t="shared" si="2"/>
        <v>4.0279693057765167</v>
      </c>
    </row>
    <row r="51" spans="13:15" x14ac:dyDescent="0.2">
      <c r="M51" s="24">
        <v>11.75</v>
      </c>
      <c r="N51" s="24">
        <v>4.2526193633972582</v>
      </c>
      <c r="O51" s="24">
        <f t="shared" si="2"/>
        <v>4.0364983609476797</v>
      </c>
    </row>
    <row r="52" spans="13:15" x14ac:dyDescent="0.2">
      <c r="M52" s="24">
        <v>12</v>
      </c>
      <c r="N52" s="24">
        <v>4.2666603309518853</v>
      </c>
      <c r="O52" s="24">
        <f t="shared" si="2"/>
        <v>4.0447486825208214</v>
      </c>
    </row>
    <row r="53" spans="13:15" x14ac:dyDescent="0.2">
      <c r="M53" s="24">
        <v>12.25</v>
      </c>
      <c r="N53" s="24">
        <v>4.2802827204494802</v>
      </c>
      <c r="O53" s="24">
        <f t="shared" si="2"/>
        <v>4.0527308353883598</v>
      </c>
    </row>
    <row r="54" spans="13:15" x14ac:dyDescent="0.2">
      <c r="M54" s="24">
        <v>12.5</v>
      </c>
      <c r="N54" s="24">
        <v>4.2934988220248904</v>
      </c>
      <c r="O54" s="24">
        <f t="shared" si="2"/>
        <v>4.0604550629710712</v>
      </c>
    </row>
    <row r="55" spans="13:15" x14ac:dyDescent="0.2">
      <c r="M55" s="24">
        <v>12.75</v>
      </c>
      <c r="N55" s="24">
        <v>4.3063209590513924</v>
      </c>
      <c r="O55" s="24">
        <f t="shared" si="2"/>
        <v>4.0679312800670422</v>
      </c>
    </row>
    <row r="56" spans="13:15" x14ac:dyDescent="0.2">
      <c r="M56" s="24">
        <v>13</v>
      </c>
      <c r="N56" s="24">
        <v>4.3187614161845609</v>
      </c>
      <c r="O56" s="24">
        <f t="shared" si="2"/>
        <v>4.0751690689065541</v>
      </c>
    </row>
    <row r="57" spans="13:15" x14ac:dyDescent="0.2">
      <c r="M57" s="24">
        <v>13.25</v>
      </c>
      <c r="N57" s="24">
        <v>4.3308323790707126</v>
      </c>
      <c r="O57" s="24">
        <f t="shared" si="2"/>
        <v>4.0821776779124255</v>
      </c>
    </row>
    <row r="58" spans="13:15" x14ac:dyDescent="0.2">
      <c r="M58" s="24">
        <v>13.5</v>
      </c>
      <c r="N58" s="24">
        <v>4.3425458842199056</v>
      </c>
      <c r="O58" s="24">
        <f t="shared" si="2"/>
        <v>4.0889660227297853</v>
      </c>
    </row>
    <row r="59" spans="13:15" x14ac:dyDescent="0.2">
      <c r="M59" s="24">
        <v>13.75</v>
      </c>
      <c r="N59" s="24">
        <v>4.3539137777210568</v>
      </c>
      <c r="O59" s="24">
        <f t="shared" si="2"/>
        <v>4.0955426891459226</v>
      </c>
    </row>
    <row r="60" spans="13:15" x14ac:dyDescent="0.2">
      <c r="M60" s="24">
        <v>14</v>
      </c>
      <c r="N60" s="24">
        <v>4.3649476816340531</v>
      </c>
      <c r="O60" s="24">
        <f t="shared" si="2"/>
        <v>4.1019159375708112</v>
      </c>
    </row>
    <row r="61" spans="13:15" x14ac:dyDescent="0.2">
      <c r="M61" s="24">
        <v>14.25</v>
      </c>
      <c r="N61" s="24">
        <v>4.3756589670331358</v>
      </c>
      <c r="O61" s="24">
        <f t="shared" si="2"/>
        <v>4.1080937087928353</v>
      </c>
    </row>
    <row r="62" spans="13:15" x14ac:dyDescent="0.2">
      <c r="M62" s="24">
        <v>14.5</v>
      </c>
      <c r="N62" s="24">
        <v>4.3860587327993086</v>
      </c>
      <c r="O62" s="24">
        <f t="shared" si="2"/>
        <v>4.1140836307628108</v>
      </c>
    </row>
    <row r="63" spans="13:15" x14ac:dyDescent="0.2">
      <c r="M63" s="24">
        <v>14.75</v>
      </c>
      <c r="N63" s="24">
        <v>4.396157789368746</v>
      </c>
      <c r="O63" s="24">
        <f t="shared" si="2"/>
        <v>4.119893026193294</v>
      </c>
    </row>
    <row r="64" spans="13:15" x14ac:dyDescent="0.2">
      <c r="M64" s="24">
        <v>15</v>
      </c>
      <c r="N64" s="24">
        <v>4.4059666467409002</v>
      </c>
      <c r="O64" s="24">
        <f t="shared" si="2"/>
        <v>4.1255289207899217</v>
      </c>
    </row>
    <row r="65" spans="13:15" x14ac:dyDescent="0.2">
      <c r="M65" s="24">
        <v>15.25</v>
      </c>
      <c r="N65" s="24">
        <v>4.4154955061355192</v>
      </c>
      <c r="O65" s="24">
        <f t="shared" si="2"/>
        <v>4.1309980519575564</v>
      </c>
    </row>
    <row r="66" spans="13:15" x14ac:dyDescent="0.2">
      <c r="M66" s="24">
        <v>15.5</v>
      </c>
      <c r="N66" s="24">
        <v>4.4247542547633651</v>
      </c>
      <c r="O66" s="24">
        <f t="shared" si="2"/>
        <v>4.1363068778468151</v>
      </c>
    </row>
    <row r="67" spans="13:15" x14ac:dyDescent="0.2">
      <c r="M67" s="24">
        <v>15.75</v>
      </c>
      <c r="N67" s="24">
        <v>4.4337524632422518</v>
      </c>
      <c r="O67" s="24">
        <f t="shared" si="2"/>
        <v>4.1414615866265656</v>
      </c>
    </row>
    <row r="68" spans="13:15" x14ac:dyDescent="0.2">
      <c r="M68" s="24">
        <v>16</v>
      </c>
      <c r="N68" s="24">
        <v>4.4424993852489667</v>
      </c>
      <c r="O68" s="24">
        <f t="shared" ref="O68:O99" si="3">beta_0_scen+beta_1_scen*((1-EXP(-lambda*M68))/(lambda*M68))+beta_2_scen*((1-EXP(-lambda*M68))/(lambda*M68)-EXP(-lambda*M68))</f>
        <v>4.146468105885309</v>
      </c>
    </row>
    <row r="69" spans="13:15" x14ac:dyDescent="0.2">
      <c r="M69" s="24">
        <v>16.25</v>
      </c>
      <c r="N69" s="24">
        <v>4.4510039590497525</v>
      </c>
      <c r="O69" s="24">
        <f t="shared" si="3"/>
        <v>4.1513321120796336</v>
      </c>
    </row>
    <row r="70" spans="13:15" x14ac:dyDescent="0.2">
      <c r="M70" s="24">
        <v>16.5</v>
      </c>
      <c r="N70" s="24">
        <v>4.4592748105979183</v>
      </c>
      <c r="O70" s="24">
        <f t="shared" si="3"/>
        <v>4.1560590399611179</v>
      </c>
    </row>
    <row r="71" spans="13:15" x14ac:dyDescent="0.2">
      <c r="M71" s="24">
        <v>16.75</v>
      </c>
      <c r="N71" s="24">
        <v>4.4673202579276241</v>
      </c>
      <c r="O71" s="24">
        <f t="shared" si="3"/>
        <v>4.1606540919245871</v>
      </c>
    </row>
    <row r="72" spans="13:15" x14ac:dyDescent="0.2">
      <c r="M72" s="24">
        <v>17</v>
      </c>
      <c r="N72" s="24">
        <v>4.475148316608573</v>
      </c>
      <c r="O72" s="24">
        <f t="shared" si="3"/>
        <v>4.1651222472305731</v>
      </c>
    </row>
    <row r="73" spans="13:15" x14ac:dyDescent="0.2">
      <c r="M73" s="24">
        <v>17.25</v>
      </c>
      <c r="N73" s="24">
        <v>4.482766706057709</v>
      </c>
      <c r="O73" s="24">
        <f t="shared" si="3"/>
        <v>4.1694682710635398</v>
      </c>
    </row>
    <row r="74" spans="13:15" x14ac:dyDescent="0.2">
      <c r="M74" s="24">
        <v>17.5</v>
      </c>
      <c r="N74" s="24">
        <v>4.4901828565316126</v>
      </c>
      <c r="O74" s="24">
        <f t="shared" si="3"/>
        <v>4.1736967233948317</v>
      </c>
    </row>
    <row r="75" spans="13:15" x14ac:dyDescent="0.2">
      <c r="M75" s="24">
        <v>17.75</v>
      </c>
      <c r="N75" s="24">
        <v>4.4974039166475919</v>
      </c>
      <c r="O75" s="24">
        <f t="shared" si="3"/>
        <v>4.1778119676258134</v>
      </c>
    </row>
    <row r="76" spans="13:15" x14ac:dyDescent="0.2">
      <c r="M76" s="24">
        <v>18</v>
      </c>
      <c r="N76" s="24">
        <v>4.5044367613027045</v>
      </c>
      <c r="O76" s="24">
        <f t="shared" si="3"/>
        <v>4.1818181789921516</v>
      </c>
    </row>
    <row r="77" spans="13:15" x14ac:dyDescent="0.2">
      <c r="M77" s="24">
        <v>18.25</v>
      </c>
      <c r="N77" s="24">
        <v>4.5112879998786637</v>
      </c>
      <c r="O77" s="24">
        <f t="shared" si="3"/>
        <v>4.1857193527149867</v>
      </c>
    </row>
    <row r="78" spans="13:15" x14ac:dyDescent="0.2">
      <c r="M78" s="24">
        <v>18.5</v>
      </c>
      <c r="N78" s="24">
        <v>4.5179639846369515</v>
      </c>
      <c r="O78" s="24">
        <f t="shared" si="3"/>
        <v>4.1895193118887635</v>
      </c>
    </row>
    <row r="79" spans="13:15" x14ac:dyDescent="0.2">
      <c r="M79" s="24">
        <v>18.75</v>
      </c>
      <c r="N79" s="24">
        <v>4.5244708192227296</v>
      </c>
      <c r="O79" s="24">
        <f t="shared" si="3"/>
        <v>4.1932217150989439</v>
      </c>
    </row>
    <row r="80" spans="13:15" x14ac:dyDescent="0.2">
      <c r="M80" s="24">
        <v>19</v>
      </c>
      <c r="N80" s="24">
        <v>4.5308143672087393</v>
      </c>
      <c r="O80" s="24">
        <f t="shared" si="3"/>
        <v>4.1968300637657601</v>
      </c>
    </row>
    <row r="81" spans="13:15" x14ac:dyDescent="0.2">
      <c r="M81" s="24">
        <v>19.25</v>
      </c>
      <c r="N81" s="24">
        <v>4.5370002606212081</v>
      </c>
      <c r="O81" s="24">
        <f t="shared" si="3"/>
        <v>4.2003477092126236</v>
      </c>
    </row>
    <row r="82" spans="13:15" x14ac:dyDescent="0.2">
      <c r="M82" s="24">
        <v>19.5</v>
      </c>
      <c r="N82" s="24">
        <v>4.5430339083993836</v>
      </c>
      <c r="O82" s="24">
        <f t="shared" si="3"/>
        <v>4.2037778594598443</v>
      </c>
    </row>
    <row r="83" spans="13:15" x14ac:dyDescent="0.2">
      <c r="M83" s="24">
        <v>19.75</v>
      </c>
      <c r="N83" s="24">
        <v>4.5489205047485344</v>
      </c>
      <c r="O83" s="24">
        <f t="shared" si="3"/>
        <v>4.2071235857460598</v>
      </c>
    </row>
    <row r="84" spans="13:15" x14ac:dyDescent="0.2">
      <c r="M84" s="24">
        <v>20</v>
      </c>
      <c r="N84" s="24">
        <v>4.5546650373534794</v>
      </c>
      <c r="O84" s="24">
        <f t="shared" si="3"/>
        <v>4.2103878287811636</v>
      </c>
    </row>
    <row r="85" spans="13:15" x14ac:dyDescent="0.2">
      <c r="M85" s="24">
        <v>20.25</v>
      </c>
      <c r="N85" s="24">
        <v>4.5602722954259249</v>
      </c>
      <c r="O85" s="24">
        <f t="shared" si="3"/>
        <v>4.2135734047356657</v>
      </c>
    </row>
    <row r="86" spans="13:15" x14ac:dyDescent="0.2">
      <c r="M86" s="24">
        <v>20.5</v>
      </c>
      <c r="N86" s="24">
        <v>4.5657468775642815</v>
      </c>
      <c r="O86" s="24">
        <f t="shared" si="3"/>
        <v>4.216683010972373</v>
      </c>
    </row>
    <row r="87" spans="13:15" x14ac:dyDescent="0.2">
      <c r="M87" s="24">
        <v>20.75</v>
      </c>
      <c r="N87" s="24">
        <v>4.5710931994092743</v>
      </c>
      <c r="O87" s="24">
        <f t="shared" si="3"/>
        <v>4.2197192315269536</v>
      </c>
    </row>
    <row r="88" spans="13:15" x14ac:dyDescent="0.2">
      <c r="M88" s="24">
        <v>21</v>
      </c>
      <c r="N88" s="24">
        <v>4.5763155010826457</v>
      </c>
      <c r="O88" s="24">
        <f t="shared" si="3"/>
        <v>4.2226845423445756</v>
      </c>
    </row>
    <row r="89" spans="13:15" x14ac:dyDescent="0.2">
      <c r="M89" s="24">
        <v>21.25</v>
      </c>
      <c r="N89" s="24">
        <v>4.5814178543997119</v>
      </c>
      <c r="O89" s="24">
        <f t="shared" si="3"/>
        <v>4.2255813162801719</v>
      </c>
    </row>
    <row r="90" spans="13:15" x14ac:dyDescent="0.2">
      <c r="M90" s="24">
        <v>21.5</v>
      </c>
      <c r="N90" s="24">
        <v>4.5864041698493905</v>
      </c>
      <c r="O90" s="24">
        <f t="shared" si="3"/>
        <v>4.2284118278702207</v>
      </c>
    </row>
    <row r="91" spans="13:15" x14ac:dyDescent="0.2">
      <c r="M91" s="24">
        <v>21.75</v>
      </c>
      <c r="N91" s="24">
        <v>4.5912782033378869</v>
      </c>
      <c r="O91" s="24">
        <f t="shared" si="3"/>
        <v>4.2311782578841033</v>
      </c>
    </row>
    <row r="92" spans="13:15" x14ac:dyDescent="0.2">
      <c r="M92" s="24">
        <v>22</v>
      </c>
      <c r="N92" s="24">
        <v>4.5960435626942679</v>
      </c>
      <c r="O92" s="24">
        <f t="shared" si="3"/>
        <v>4.2338826976632173</v>
      </c>
    </row>
    <row r="93" spans="13:15" x14ac:dyDescent="0.2">
      <c r="M93" s="24">
        <v>22.25</v>
      </c>
      <c r="N93" s="24">
        <v>4.6007037139379507</v>
      </c>
      <c r="O93" s="24">
        <f t="shared" si="3"/>
        <v>4.2365271532560547</v>
      </c>
    </row>
    <row r="94" spans="13:15" x14ac:dyDescent="0.2">
      <c r="M94" s="24">
        <v>22.5</v>
      </c>
      <c r="N94" s="24">
        <v>4.6052619873096292</v>
      </c>
      <c r="O94" s="24">
        <f t="shared" si="3"/>
        <v>4.2391135493574144</v>
      </c>
    </row>
    <row r="95" spans="13:15" x14ac:dyDescent="0.2">
      <c r="M95" s="24">
        <v>22.75</v>
      </c>
      <c r="N95" s="24">
        <v>4.6097215830683567</v>
      </c>
      <c r="O95" s="24">
        <f t="shared" si="3"/>
        <v>4.2416437330598775</v>
      </c>
    </row>
    <row r="96" spans="13:15" x14ac:dyDescent="0.2">
      <c r="M96" s="24">
        <v>23</v>
      </c>
      <c r="N96" s="24">
        <v>4.6140855770585469</v>
      </c>
      <c r="O96" s="24">
        <f t="shared" si="3"/>
        <v>4.2441194774254889</v>
      </c>
    </row>
    <row r="97" spans="13:15" x14ac:dyDescent="0.2">
      <c r="M97" s="24">
        <v>23.25</v>
      </c>
      <c r="N97" s="24">
        <v>4.618356926051467</v>
      </c>
      <c r="O97" s="24">
        <f t="shared" si="3"/>
        <v>4.2465424848854916</v>
      </c>
    </row>
    <row r="98" spans="13:15" x14ac:dyDescent="0.2">
      <c r="M98" s="24">
        <v>23.5</v>
      </c>
      <c r="N98" s="24">
        <v>4.6225384728664389</v>
      </c>
      <c r="O98" s="24">
        <f t="shared" si="3"/>
        <v>4.2489143904757576</v>
      </c>
    </row>
    <row r="99" spans="13:15" x14ac:dyDescent="0.2">
      <c r="M99" s="24">
        <v>23.75</v>
      </c>
      <c r="N99" s="24">
        <v>4.6266329512774957</v>
      </c>
      <c r="O99" s="24">
        <f t="shared" si="3"/>
        <v>4.2512367649153369</v>
      </c>
    </row>
    <row r="100" spans="13:15" x14ac:dyDescent="0.2">
      <c r="M100" s="24">
        <v>24</v>
      </c>
      <c r="N100" s="24">
        <v>4.6306429907116406</v>
      </c>
      <c r="O100" s="24">
        <f t="shared" ref="O100:O124" si="4">beta_0_scen+beta_1_scen*((1-EXP(-lambda*M100))/(lambda*M100))+beta_2_scen*((1-EXP(-lambda*M100))/(lambda*M100)-EXP(-lambda*M100))</f>
        <v>4.253511117535357</v>
      </c>
    </row>
    <row r="101" spans="13:15" x14ac:dyDescent="0.2">
      <c r="M101" s="24">
        <v>24.25</v>
      </c>
      <c r="N101" s="24">
        <v>4.6345711207451279</v>
      </c>
      <c r="O101" s="24">
        <f t="shared" si="4"/>
        <v>4.2557388990652578</v>
      </c>
    </row>
    <row r="102" spans="13:15" x14ac:dyDescent="0.2">
      <c r="M102" s="24">
        <v>24.5</v>
      </c>
      <c r="N102" s="24">
        <v>4.6384197754043885</v>
      </c>
      <c r="O102" s="24">
        <f t="shared" si="4"/>
        <v>4.2579215042830958</v>
      </c>
    </row>
    <row r="103" spans="13:15" x14ac:dyDescent="0.2">
      <c r="M103" s="24">
        <v>24.75</v>
      </c>
      <c r="N103" s="24">
        <v>4.6421912972783668</v>
      </c>
      <c r="O103" s="24">
        <f t="shared" si="4"/>
        <v>4.2600602745364275</v>
      </c>
    </row>
    <row r="104" spans="13:15" x14ac:dyDescent="0.2">
      <c r="M104" s="24">
        <v>25</v>
      </c>
      <c r="N104" s="24">
        <v>4.6458879414490699</v>
      </c>
      <c r="O104" s="24">
        <f t="shared" si="4"/>
        <v>4.2621565001400237</v>
      </c>
    </row>
    <row r="105" spans="13:15" x14ac:dyDescent="0.2">
      <c r="M105" s="24">
        <v>25.25</v>
      </c>
      <c r="N105" s="24">
        <v>4.6495118792471644</v>
      </c>
      <c r="O105" s="24">
        <f t="shared" si="4"/>
        <v>4.2642114226564036</v>
      </c>
    </row>
    <row r="106" spans="13:15" x14ac:dyDescent="0.2">
      <c r="M106" s="24">
        <v>25.5</v>
      </c>
      <c r="N106" s="24">
        <v>4.653065201839393</v>
      </c>
      <c r="O106" s="24">
        <f t="shared" si="4"/>
        <v>4.2662262370649575</v>
      </c>
    </row>
    <row r="107" spans="13:15" x14ac:dyDescent="0.2">
      <c r="M107" s="24">
        <v>25.75</v>
      </c>
      <c r="N107" s="24">
        <v>4.65654992365452</v>
      </c>
      <c r="O107" s="24">
        <f t="shared" si="4"/>
        <v>4.2682020938251624</v>
      </c>
    </row>
    <row r="108" spans="13:15" x14ac:dyDescent="0.2">
      <c r="M108" s="24">
        <v>26</v>
      </c>
      <c r="N108" s="24">
        <v>4.6599679856544229</v>
      </c>
      <c r="O108" s="24">
        <f t="shared" si="4"/>
        <v>4.2701401008391437</v>
      </c>
    </row>
    <row r="109" spans="13:15" x14ac:dyDescent="0.2">
      <c r="M109" s="24">
        <v>26.25</v>
      </c>
      <c r="N109" s="24">
        <v>4.6633212584567731</v>
      </c>
      <c r="O109" s="24">
        <f t="shared" si="4"/>
        <v>4.2720413253186393</v>
      </c>
    </row>
    <row r="110" spans="13:15" x14ac:dyDescent="0.2">
      <c r="M110" s="24">
        <v>26.5</v>
      </c>
      <c r="N110" s="24">
        <v>4.6666115453156625</v>
      </c>
      <c r="O110" s="24">
        <f t="shared" si="4"/>
        <v>4.2739067955611532</v>
      </c>
    </row>
    <row r="111" spans="13:15" x14ac:dyDescent="0.2">
      <c r="M111" s="24">
        <v>26.75</v>
      </c>
      <c r="N111" s="24">
        <v>4.669840584966293</v>
      </c>
      <c r="O111" s="24">
        <f t="shared" si="4"/>
        <v>4.2757375026398661</v>
      </c>
    </row>
    <row r="112" spans="13:15" x14ac:dyDescent="0.2">
      <c r="M112" s="24">
        <v>27</v>
      </c>
      <c r="N112" s="24">
        <v>4.6730100543397288</v>
      </c>
      <c r="O112" s="24">
        <f t="shared" si="4"/>
        <v>4.2775344020116961</v>
      </c>
    </row>
    <row r="113" spans="13:15" x14ac:dyDescent="0.2">
      <c r="M113" s="24">
        <v>27.25</v>
      </c>
      <c r="N113" s="24">
        <v>4.6761215711534962</v>
      </c>
      <c r="O113" s="24">
        <f t="shared" si="4"/>
        <v>4.2792984150476254</v>
      </c>
    </row>
    <row r="114" spans="13:15" x14ac:dyDescent="0.2">
      <c r="M114" s="24">
        <v>27.5</v>
      </c>
      <c r="N114" s="24">
        <v>4.6791766963836068</v>
      </c>
      <c r="O114" s="24">
        <f t="shared" si="4"/>
        <v>4.2810304304892579</v>
      </c>
    </row>
    <row r="115" spans="13:15" x14ac:dyDescent="0.2">
      <c r="M115" s="24">
        <v>27.75</v>
      </c>
      <c r="N115" s="24">
        <v>4.6821769366234331</v>
      </c>
      <c r="O115" s="24">
        <f t="shared" si="4"/>
        <v>4.2827313058353775</v>
      </c>
    </row>
    <row r="116" spans="13:15" x14ac:dyDescent="0.2">
      <c r="M116" s="24">
        <v>28</v>
      </c>
      <c r="N116" s="24">
        <v>4.6851237463345869</v>
      </c>
      <c r="O116" s="24">
        <f t="shared" si="4"/>
        <v>4.2844018686620418</v>
      </c>
    </row>
    <row r="117" spans="13:15" x14ac:dyDescent="0.2">
      <c r="M117" s="24">
        <v>28.25</v>
      </c>
      <c r="N117" s="24">
        <v>4.6880185299948609</v>
      </c>
      <c r="O117" s="24">
        <f t="shared" si="4"/>
        <v>4.2860429178796329</v>
      </c>
    </row>
    <row r="118" spans="13:15" x14ac:dyDescent="0.2">
      <c r="M118" s="24">
        <v>28.5</v>
      </c>
      <c r="N118" s="24">
        <v>4.6908626441479644</v>
      </c>
      <c r="O118" s="24">
        <f t="shared" si="4"/>
        <v>4.2876552249300568</v>
      </c>
    </row>
    <row r="119" spans="13:15" x14ac:dyDescent="0.2">
      <c r="M119" s="24">
        <v>28.75</v>
      </c>
      <c r="N119" s="24">
        <v>4.6936573993597097</v>
      </c>
      <c r="O119" s="24">
        <f t="shared" si="4"/>
        <v>4.2892395349271704</v>
      </c>
    </row>
    <row r="120" spans="13:15" x14ac:dyDescent="0.2">
      <c r="M120" s="24">
        <v>29</v>
      </c>
      <c r="N120" s="24">
        <v>4.696404062085028</v>
      </c>
      <c r="O120" s="24">
        <f t="shared" si="4"/>
        <v>4.2907965677433024</v>
      </c>
    </row>
    <row r="121" spans="13:15" x14ac:dyDescent="0.2">
      <c r="M121" s="24">
        <v>29.25</v>
      </c>
      <c r="N121" s="24">
        <v>4.699103856450054</v>
      </c>
      <c r="O121" s="24">
        <f t="shared" si="4"/>
        <v>4.2923270190446523</v>
      </c>
    </row>
    <row r="122" spans="13:15" x14ac:dyDescent="0.2">
      <c r="M122" s="24">
        <v>29.5</v>
      </c>
      <c r="N122" s="24">
        <v>4.7017579659532975</v>
      </c>
      <c r="O122" s="24">
        <f t="shared" si="4"/>
        <v>4.2938315612781324</v>
      </c>
    </row>
    <row r="123" spans="13:15" x14ac:dyDescent="0.2">
      <c r="M123" s="24">
        <v>29.75</v>
      </c>
      <c r="N123" s="24">
        <v>4.7043675350897658</v>
      </c>
      <c r="O123" s="24">
        <f t="shared" si="4"/>
        <v>4.2953108446121586</v>
      </c>
    </row>
    <row r="124" spans="13:15" x14ac:dyDescent="0.2">
      <c r="M124" s="24">
        <v>30</v>
      </c>
      <c r="N124" s="24">
        <v>4.7069336709017309</v>
      </c>
      <c r="O124" s="24">
        <f t="shared" si="4"/>
        <v>4.2967654978337064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A68072A6084CD4F91BAAE6C620D7BEF" ma:contentTypeVersion="6" ma:contentTypeDescription="Create a new document." ma:contentTypeScope="" ma:versionID="d643f4c24d09188bd26061b55196d7a1">
  <xsd:schema xmlns:xsd="http://www.w3.org/2001/XMLSchema" xmlns:xs="http://www.w3.org/2001/XMLSchema" xmlns:p="http://schemas.microsoft.com/office/2006/metadata/properties" xmlns:ns2="909f915b-ce8e-490f-99f5-b5325376a70b" xmlns:ns3="6a327845-9b51-4b97-9d66-4acf00a098f1" targetNamespace="http://schemas.microsoft.com/office/2006/metadata/properties" ma:root="true" ma:fieldsID="a88ba98809e1f1563bcfa89b61229402" ns2:_="" ns3:_="">
    <xsd:import namespace="909f915b-ce8e-490f-99f5-b5325376a70b"/>
    <xsd:import namespace="6a327845-9b51-4b97-9d66-4acf00a098f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9f915b-ce8e-490f-99f5-b5325376a70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27845-9b51-4b97-9d66-4acf00a098f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416C2FC-DC69-4F71-8D38-C23EE67CADFB}">
  <ds:schemaRefs>
    <ds:schemaRef ds:uri="909f915b-ce8e-490f-99f5-b5325376a70b"/>
    <ds:schemaRef ds:uri="http://purl.org/dc/terms/"/>
    <ds:schemaRef ds:uri="http://purl.org/dc/elements/1.1/"/>
    <ds:schemaRef ds:uri="http://schemas.microsoft.com/office/infopath/2007/PartnerControls"/>
    <ds:schemaRef ds:uri="http://schemas.openxmlformats.org/package/2006/metadata/core-properties"/>
    <ds:schemaRef ds:uri="http://www.w3.org/XML/1998/namespace"/>
    <ds:schemaRef ds:uri="http://purl.org/dc/dcmitype/"/>
    <ds:schemaRef ds:uri="http://schemas.microsoft.com/office/2006/documentManagement/types"/>
    <ds:schemaRef ds:uri="6a327845-9b51-4b97-9d66-4acf00a098f1"/>
    <ds:schemaRef ds:uri="http://schemas.microsoft.com/office/2006/metadata/properties"/>
  </ds:schemaRefs>
</ds:datastoreItem>
</file>

<file path=customXml/itemProps2.xml><?xml version="1.0" encoding="utf-8"?>
<ds:datastoreItem xmlns:ds="http://schemas.openxmlformats.org/officeDocument/2006/customXml" ds:itemID="{A9266AD5-F3DC-4AD9-8E08-5FAD93D47094}">
  <ds:schemaRefs>
    <ds:schemaRef ds:uri="http://schemas.microsoft.com/sharepoint/v3/contenttype/forms"/>
  </ds:schemaRefs>
</ds:datastoreItem>
</file>

<file path=customXml/itemProps3.xml><?xml version="1.0" encoding="utf-8"?>
<ds:datastoreItem xmlns:ds="http://schemas.openxmlformats.org/officeDocument/2006/customXml" ds:itemID="{B1E30E8C-C8B9-4465-94EC-D329AD760C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9f915b-ce8e-490f-99f5-b5325376a70b"/>
    <ds:schemaRef ds:uri="6a327845-9b51-4b97-9d66-4acf00a098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DISCLAIMER</vt:lpstr>
      <vt:lpstr>NS</vt:lpstr>
      <vt:lpstr>Bond 101</vt:lpstr>
      <vt:lpstr>Scenarios</vt:lpstr>
      <vt:lpstr>Boiler Room</vt:lpstr>
      <vt:lpstr>beta_0</vt:lpstr>
      <vt:lpstr>beta_0_scen</vt:lpstr>
      <vt:lpstr>beta_1</vt:lpstr>
      <vt:lpstr>beta_1_scen</vt:lpstr>
      <vt:lpstr>beta_2</vt:lpstr>
      <vt:lpstr>beta_2_scen</vt:lpstr>
      <vt:lpstr>coefs</vt:lpstr>
      <vt:lpstr>coefs_scen</vt:lpstr>
      <vt:lpstr>countries</vt:lpstr>
      <vt:lpstr>country_ix</vt:lpstr>
      <vt:lpstr>country_list</vt:lpstr>
      <vt:lpstr>current_maturities</vt:lpstr>
      <vt:lpstr>current_rates</vt:lpstr>
      <vt:lpstr>hump_choices</vt:lpstr>
      <vt:lpstr>hump_ix</vt:lpstr>
      <vt:lpstr>hump_mat</vt:lpstr>
      <vt:lpstr>lambda</vt:lpstr>
      <vt:lpstr>lambdas</vt:lpstr>
      <vt:lpstr>ns_maturities</vt:lpstr>
      <vt:lpstr>ns_table</vt:lpstr>
      <vt:lpstr>ns_yields</vt:lpstr>
      <vt:lpstr>obs_date</vt:lpstr>
      <vt:lpstr>scen_mat_a</vt:lpstr>
      <vt:lpstr>scen_mat_b</vt:lpstr>
      <vt:lpstr>ss_err_scen</vt:lpstr>
      <vt:lpstr>sumsq_err_ns</vt:lpstr>
      <vt:lpstr>yields_used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Roberts Grava</cp:lastModifiedBy>
  <dcterms:created xsi:type="dcterms:W3CDTF">2024-10-13T11:26:12Z</dcterms:created>
  <dcterms:modified xsi:type="dcterms:W3CDTF">2025-10-08T09:35:35Z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0x0101000A68072A6084CD4F91BAAE6C620D7BEF</vt:lpwstr>
  </property>
</Properties>
</file>