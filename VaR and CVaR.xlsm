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5.10 Seminar\"/>
    </mc:Choice>
  </mc:AlternateContent>
  <xr:revisionPtr revIDLastSave="0" documentId="13_ncr:1_{0A1CF0D1-BA47-4BFF-91E6-C1D6DB3A4D59}" xr6:coauthVersionLast="47" xr6:coauthVersionMax="47" xr10:uidLastSave="{00000000-0000-0000-0000-000000000000}"/>
  <bookViews>
    <workbookView xWindow="-110" yWindow="-110" windowWidth="25820" windowHeight="15500" activeTab="1" xr2:uid="{76B0CE7C-7485-4BB4-9D92-9816EDF79400}"/>
  </bookViews>
  <sheets>
    <sheet name="VaR" sheetId="1" r:id="rId1"/>
    <sheet name="CVaR" sheetId="2" r:id="rId2"/>
  </sheets>
  <externalReferences>
    <externalReference r:id="rId3"/>
  </externalReferences>
  <definedNames>
    <definedName name="lambda">'[1]TE timeweighted'!$G$10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E5" i="2" l="1"/>
  <c r="K8" i="1"/>
  <c r="B8" i="1" s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1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11" i="1"/>
  <c r="G11" i="1" l="1"/>
  <c r="G12" i="1"/>
  <c r="G25" i="1"/>
  <c r="G26" i="1"/>
  <c r="G27" i="1"/>
  <c r="G28" i="1"/>
  <c r="G29" i="1"/>
  <c r="G30" i="1"/>
  <c r="G31" i="1"/>
  <c r="G32" i="1"/>
  <c r="G33" i="1"/>
  <c r="G13" i="1"/>
  <c r="G36" i="1"/>
  <c r="G16" i="1"/>
  <c r="G38" i="1"/>
  <c r="G40" i="1"/>
  <c r="G34" i="1"/>
  <c r="G35" i="1"/>
  <c r="G14" i="1"/>
  <c r="G15" i="1"/>
  <c r="G37" i="1"/>
  <c r="G17" i="1"/>
  <c r="G39" i="1"/>
  <c r="G18" i="1"/>
  <c r="G19" i="1"/>
  <c r="G41" i="1"/>
  <c r="G20" i="1"/>
  <c r="G42" i="1"/>
  <c r="G21" i="1"/>
  <c r="G43" i="1"/>
  <c r="G22" i="1"/>
  <c r="G44" i="1"/>
  <c r="G23" i="1"/>
  <c r="G45" i="1"/>
  <c r="G24" i="1"/>
  <c r="E8" i="2"/>
  <c r="B5" i="2"/>
  <c r="B3" i="2"/>
  <c r="B2" i="2"/>
  <c r="L10" i="1"/>
  <c r="G10" i="1"/>
  <c r="C8" i="1"/>
  <c r="C5" i="1"/>
  <c r="B5" i="1"/>
  <c r="C3" i="1"/>
  <c r="B3" i="1"/>
  <c r="C2" i="1"/>
  <c r="B2" i="1"/>
  <c r="C7" i="1" l="1"/>
  <c r="E45" i="1"/>
  <c r="J45" i="1"/>
  <c r="E11" i="1"/>
  <c r="J11" i="1"/>
  <c r="B7" i="2"/>
  <c r="B8" i="2" s="1"/>
  <c r="B7" i="1"/>
  <c r="L12" i="1" s="1"/>
  <c r="B6" i="2"/>
  <c r="E12" i="1" l="1"/>
  <c r="F11" i="1"/>
  <c r="J12" i="1"/>
  <c r="F12" i="1" l="1"/>
  <c r="J13" i="1"/>
  <c r="E13" i="1"/>
  <c r="E14" i="1" l="1"/>
  <c r="E15" i="1" s="1"/>
  <c r="F13" i="1"/>
  <c r="F14" i="1" s="1"/>
  <c r="J14" i="1"/>
  <c r="L13" i="1"/>
  <c r="J15" i="1" l="1"/>
  <c r="L14" i="1"/>
  <c r="E16" i="1"/>
  <c r="F15" i="1"/>
  <c r="E17" i="1" l="1"/>
  <c r="F16" i="1"/>
  <c r="J16" i="1"/>
  <c r="L15" i="1"/>
  <c r="J17" i="1" l="1"/>
  <c r="L16" i="1"/>
  <c r="E18" i="1"/>
  <c r="F17" i="1"/>
  <c r="E19" i="1" l="1"/>
  <c r="F18" i="1"/>
  <c r="J18" i="1"/>
  <c r="L17" i="1"/>
  <c r="J19" i="1" l="1"/>
  <c r="L18" i="1"/>
  <c r="E20" i="1"/>
  <c r="F19" i="1"/>
  <c r="E21" i="1" l="1"/>
  <c r="F20" i="1"/>
  <c r="J20" i="1"/>
  <c r="L19" i="1"/>
  <c r="J21" i="1" l="1"/>
  <c r="L20" i="1"/>
  <c r="E22" i="1"/>
  <c r="F21" i="1"/>
  <c r="E23" i="1" l="1"/>
  <c r="F22" i="1"/>
  <c r="J22" i="1"/>
  <c r="L21" i="1"/>
  <c r="J23" i="1" l="1"/>
  <c r="L22" i="1"/>
  <c r="E24" i="1"/>
  <c r="F23" i="1"/>
  <c r="E25" i="1" l="1"/>
  <c r="F24" i="1"/>
  <c r="J24" i="1"/>
  <c r="L23" i="1"/>
  <c r="J25" i="1" l="1"/>
  <c r="L24" i="1"/>
  <c r="E26" i="1"/>
  <c r="F25" i="1"/>
  <c r="J26" i="1" l="1"/>
  <c r="L25" i="1"/>
  <c r="E27" i="1"/>
  <c r="F26" i="1"/>
  <c r="E28" i="1" l="1"/>
  <c r="F27" i="1"/>
  <c r="J27" i="1"/>
  <c r="L26" i="1"/>
  <c r="J28" i="1" l="1"/>
  <c r="L27" i="1"/>
  <c r="E29" i="1"/>
  <c r="F28" i="1"/>
  <c r="E30" i="1" l="1"/>
  <c r="F29" i="1"/>
  <c r="J29" i="1"/>
  <c r="L28" i="1"/>
  <c r="J30" i="1" l="1"/>
  <c r="L29" i="1"/>
  <c r="E31" i="1"/>
  <c r="F30" i="1"/>
  <c r="E32" i="1" l="1"/>
  <c r="F31" i="1"/>
  <c r="J31" i="1"/>
  <c r="L30" i="1"/>
  <c r="J32" i="1" l="1"/>
  <c r="L31" i="1"/>
  <c r="E33" i="1"/>
  <c r="F32" i="1"/>
  <c r="E34" i="1" l="1"/>
  <c r="F33" i="1"/>
  <c r="J33" i="1"/>
  <c r="L32" i="1"/>
  <c r="J34" i="1" l="1"/>
  <c r="L33" i="1"/>
  <c r="E35" i="1"/>
  <c r="F34" i="1"/>
  <c r="E36" i="1" l="1"/>
  <c r="F35" i="1"/>
  <c r="J35" i="1"/>
  <c r="L34" i="1"/>
  <c r="J36" i="1" l="1"/>
  <c r="L35" i="1"/>
  <c r="E37" i="1"/>
  <c r="F36" i="1"/>
  <c r="E38" i="1" l="1"/>
  <c r="F37" i="1"/>
  <c r="J37" i="1"/>
  <c r="L36" i="1"/>
  <c r="J38" i="1" l="1"/>
  <c r="L37" i="1"/>
  <c r="E39" i="1"/>
  <c r="F38" i="1"/>
  <c r="E40" i="1" l="1"/>
  <c r="F39" i="1"/>
  <c r="J39" i="1"/>
  <c r="L38" i="1"/>
  <c r="J40" i="1" l="1"/>
  <c r="L39" i="1"/>
  <c r="E41" i="1"/>
  <c r="F40" i="1"/>
  <c r="E42" i="1" l="1"/>
  <c r="F41" i="1"/>
  <c r="J41" i="1"/>
  <c r="L40" i="1"/>
  <c r="J42" i="1" l="1"/>
  <c r="L41" i="1"/>
  <c r="E43" i="1"/>
  <c r="F42" i="1"/>
  <c r="E44" i="1" l="1"/>
  <c r="F43" i="1"/>
  <c r="J43" i="1"/>
  <c r="L42" i="1"/>
  <c r="J44" i="1" l="1"/>
  <c r="L43" i="1"/>
  <c r="F44" i="1"/>
  <c r="L45" i="1" l="1"/>
  <c r="L44" i="1"/>
</calcChain>
</file>

<file path=xl/sharedStrings.xml><?xml version="1.0" encoding="utf-8"?>
<sst xmlns="http://schemas.openxmlformats.org/spreadsheetml/2006/main" count="34" uniqueCount="24">
  <si>
    <t>Mean</t>
  </si>
  <si>
    <t>Standard Deviation</t>
  </si>
  <si>
    <t>Confidence Level</t>
  </si>
  <si>
    <t>z</t>
  </si>
  <si>
    <t>Value at Risk (VaR)</t>
  </si>
  <si>
    <t xml:space="preserve">    Parametic VaR</t>
  </si>
  <si>
    <t xml:space="preserve">    Empirical VaR</t>
  </si>
  <si>
    <t>Month</t>
  </si>
  <si>
    <t>Fund Return (%)</t>
  </si>
  <si>
    <t>no. months in this bucket</t>
  </si>
  <si>
    <t>Returns ordered</t>
  </si>
  <si>
    <t>VaR</t>
  </si>
  <si>
    <t>Z</t>
  </si>
  <si>
    <t>CVaR</t>
  </si>
  <si>
    <t>AVERAGE</t>
  </si>
  <si>
    <t>Parametric - based on the normal distn curve</t>
  </si>
  <si>
    <t>Empirical - based on the ordered returns</t>
  </si>
  <si>
    <t>Normal Distn</t>
  </si>
  <si>
    <t>RANK:</t>
  </si>
  <si>
    <t>Just so you can see that the ranked numbers reflect the empircial VaR</t>
  </si>
  <si>
    <t>RANK</t>
  </si>
  <si>
    <t>PARAMETRIC</t>
  </si>
  <si>
    <t>EMPIRICAL</t>
  </si>
  <si>
    <t>&lt;- this is showing you the other way you can look at empircal VaR - on the previous page, we asked us to bring us back the value closest to the ranked number (CELL E5), here, if that ranked number is a decimal, it won't round, it will bring back the value between the 2 closest ranks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</si>
</sst>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FFFF"/>
      <name val="Calibri"/>
      <family val="2"/>
    </font>
    <font>
      <sz val="10"/>
      <name val="Calibri"/>
      <family val="2"/>
    </font>
    <font>
      <sz val="14"/>
      <color rgb="FF585858"/>
      <name val="Calibri"/>
      <family val="2"/>
    </font>
    <font>
      <sz val="10"/>
      <color theme="0"/>
      <name val="Calibri"/>
      <family val="2"/>
    </font>
    <font>
      <sz val="14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i/>
      <sz val="11"/>
      <color theme="2" tint="-9.9978637043366805E-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C4C3C3"/>
      </top>
      <bottom style="medium">
        <color rgb="FFC4C3C3"/>
      </bottom>
      <diagonal/>
    </border>
    <border>
      <left/>
      <right/>
      <top style="medium">
        <color rgb="FFC4C3C3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33">
    <xf numFmtId="0" fontId="0" fillId="0" borderId="0" xfId="0"/>
    <xf numFmtId="0" fontId="4" fillId="3" borderId="0" xfId="2" applyFont="1" applyFill="1" applyAlignment="1">
      <alignment vertical="center"/>
    </xf>
    <xf numFmtId="0" fontId="5" fillId="3" borderId="1" xfId="2" applyFont="1" applyFill="1" applyBorder="1" applyAlignment="1">
      <alignment horizontal="left" vertical="center" wrapText="1" readingOrder="1"/>
    </xf>
    <xf numFmtId="2" fontId="5" fillId="3" borderId="1" xfId="2" applyNumberFormat="1" applyFont="1" applyFill="1" applyBorder="1" applyAlignment="1">
      <alignment horizontal="right" vertical="center" wrapText="1" readingOrder="1"/>
    </xf>
    <xf numFmtId="2" fontId="6" fillId="3" borderId="0" xfId="2" applyNumberFormat="1" applyFont="1" applyFill="1" applyAlignment="1">
      <alignment vertical="center"/>
    </xf>
    <xf numFmtId="9" fontId="5" fillId="3" borderId="1" xfId="1" applyFont="1" applyFill="1" applyBorder="1" applyAlignment="1">
      <alignment horizontal="right" vertical="center" wrapText="1" readingOrder="1"/>
    </xf>
    <xf numFmtId="0" fontId="5" fillId="3" borderId="0" xfId="2" applyFont="1" applyFill="1" applyAlignment="1">
      <alignment horizontal="left" vertical="center" wrapText="1" readingOrder="1"/>
    </xf>
    <xf numFmtId="1" fontId="5" fillId="3" borderId="1" xfId="2" applyNumberFormat="1" applyFont="1" applyFill="1" applyBorder="1" applyAlignment="1">
      <alignment horizontal="right" vertical="center" wrapText="1" readingOrder="1"/>
    </xf>
    <xf numFmtId="0" fontId="5" fillId="4" borderId="0" xfId="2" applyFont="1" applyFill="1" applyAlignment="1">
      <alignment horizontal="left" vertical="center" wrapText="1" readingOrder="1"/>
    </xf>
    <xf numFmtId="2" fontId="5" fillId="4" borderId="2" xfId="2" applyNumberFormat="1" applyFont="1" applyFill="1" applyBorder="1" applyAlignment="1">
      <alignment horizontal="right" vertical="center" wrapText="1" readingOrder="1"/>
    </xf>
    <xf numFmtId="0" fontId="7" fillId="3" borderId="0" xfId="2" applyFont="1" applyFill="1" applyAlignment="1">
      <alignment horizontal="left" vertical="center" wrapText="1" readingOrder="1"/>
    </xf>
    <xf numFmtId="2" fontId="5" fillId="4" borderId="0" xfId="2" quotePrefix="1" applyNumberFormat="1" applyFont="1" applyFill="1" applyAlignment="1">
      <alignment horizontal="right" vertical="center" wrapText="1" readingOrder="1"/>
    </xf>
    <xf numFmtId="0" fontId="8" fillId="2" borderId="0" xfId="2" applyFont="1" applyFill="1" applyAlignment="1">
      <alignment horizontal="center" vertical="center"/>
    </xf>
    <xf numFmtId="0" fontId="8" fillId="2" borderId="0" xfId="2" applyFont="1" applyFill="1" applyAlignment="1">
      <alignment horizontal="center" vertical="center" wrapText="1"/>
    </xf>
    <xf numFmtId="0" fontId="9" fillId="3" borderId="0" xfId="2" applyFont="1" applyFill="1" applyAlignment="1">
      <alignment vertical="center"/>
    </xf>
    <xf numFmtId="164" fontId="9" fillId="3" borderId="0" xfId="2" applyNumberFormat="1" applyFont="1" applyFill="1" applyAlignment="1">
      <alignment vertical="center"/>
    </xf>
    <xf numFmtId="0" fontId="9" fillId="3" borderId="0" xfId="2" applyFont="1" applyFill="1" applyAlignment="1">
      <alignment horizontal="center" vertical="center"/>
    </xf>
    <xf numFmtId="164" fontId="9" fillId="3" borderId="0" xfId="2" applyNumberFormat="1" applyFont="1" applyFill="1" applyAlignment="1">
      <alignment horizontal="center" vertical="center"/>
    </xf>
    <xf numFmtId="0" fontId="5" fillId="4" borderId="1" xfId="2" applyFont="1" applyFill="1" applyBorder="1" applyAlignment="1">
      <alignment horizontal="left" vertical="center" wrapText="1" readingOrder="1"/>
    </xf>
    <xf numFmtId="2" fontId="5" fillId="4" borderId="1" xfId="2" applyNumberFormat="1" applyFont="1" applyFill="1" applyBorder="1" applyAlignment="1">
      <alignment horizontal="right" vertical="center" wrapText="1" readingOrder="1"/>
    </xf>
    <xf numFmtId="165" fontId="9" fillId="3" borderId="0" xfId="2" applyNumberFormat="1" applyFont="1" applyFill="1" applyAlignment="1">
      <alignment horizontal="center" vertical="center"/>
    </xf>
    <xf numFmtId="2" fontId="9" fillId="3" borderId="3" xfId="2" applyNumberFormat="1" applyFont="1" applyFill="1" applyBorder="1" applyAlignment="1">
      <alignment vertical="center"/>
    </xf>
    <xf numFmtId="2" fontId="4" fillId="3" borderId="4" xfId="2" applyNumberFormat="1" applyFont="1" applyFill="1" applyBorder="1" applyAlignment="1">
      <alignment vertical="center"/>
    </xf>
    <xf numFmtId="0" fontId="9" fillId="5" borderId="0" xfId="2" applyFont="1" applyFill="1" applyAlignment="1">
      <alignment vertical="center"/>
    </xf>
    <xf numFmtId="2" fontId="9" fillId="5" borderId="5" xfId="2" applyNumberFormat="1" applyFont="1" applyFill="1" applyBorder="1" applyAlignment="1">
      <alignment vertical="center"/>
    </xf>
    <xf numFmtId="2" fontId="9" fillId="3" borderId="0" xfId="2" applyNumberFormat="1" applyFont="1" applyFill="1" applyAlignment="1">
      <alignment vertical="center"/>
    </xf>
    <xf numFmtId="2" fontId="4" fillId="3" borderId="0" xfId="2" applyNumberFormat="1" applyFont="1" applyFill="1" applyAlignment="1">
      <alignment vertical="center"/>
    </xf>
    <xf numFmtId="0" fontId="4" fillId="3" borderId="0" xfId="2" applyFont="1" applyFill="1" applyAlignment="1">
      <alignment horizontal="center" vertical="center"/>
    </xf>
    <xf numFmtId="1" fontId="9" fillId="3" borderId="0" xfId="2" applyNumberFormat="1" applyFont="1" applyFill="1" applyAlignment="1">
      <alignment vertical="center"/>
    </xf>
    <xf numFmtId="1" fontId="9" fillId="3" borderId="0" xfId="2" applyNumberFormat="1" applyFont="1" applyFill="1" applyAlignment="1">
      <alignment horizontal="center" vertical="center"/>
    </xf>
    <xf numFmtId="0" fontId="10" fillId="3" borderId="0" xfId="2" applyFont="1" applyFill="1" applyAlignment="1">
      <alignment horizontal="center" vertical="center"/>
    </xf>
    <xf numFmtId="166" fontId="4" fillId="3" borderId="0" xfId="2" applyNumberFormat="1" applyFont="1" applyFill="1" applyAlignment="1">
      <alignment vertical="center"/>
    </xf>
    <xf numFmtId="0" fontId="3" fillId="2" borderId="0" xfId="2" applyFont="1" applyFill="1" applyAlignment="1">
      <alignment horizontal="center" vertical="center" wrapText="1" readingOrder="1"/>
    </xf>
  </cellXfs>
  <cellStyles count="3">
    <cellStyle name="Normal" xfId="0" builtinId="0"/>
    <cellStyle name="Normal 2" xfId="2" xr:uid="{ED1251C2-4F80-4090-B0DB-01A08BE823A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</a:t>
            </a:r>
            <a:r>
              <a:rPr lang="en-GB" baseline="0"/>
              <a:t> distn and Parametric VaR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VaR!$L$10</c:f>
              <c:strCache>
                <c:ptCount val="1"/>
                <c:pt idx="0">
                  <c:v>    Parametic VaR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VaR!$J$11:$J$45</c:f>
              <c:numCache>
                <c:formatCode>0.00</c:formatCode>
                <c:ptCount val="35"/>
                <c:pt idx="0">
                  <c:v>-5.1765537604526077</c:v>
                </c:pt>
                <c:pt idx="1">
                  <c:v>-4.8793033949677351</c:v>
                </c:pt>
                <c:pt idx="2">
                  <c:v>-4.5820530294828625</c:v>
                </c:pt>
                <c:pt idx="3">
                  <c:v>-4.2848026639979899</c:v>
                </c:pt>
                <c:pt idx="4">
                  <c:v>-3.9875522985131178</c:v>
                </c:pt>
                <c:pt idx="5">
                  <c:v>-3.6903019330282456</c:v>
                </c:pt>
                <c:pt idx="6">
                  <c:v>-3.3930515675433734</c:v>
                </c:pt>
                <c:pt idx="7">
                  <c:v>-3.0958012020585013</c:v>
                </c:pt>
                <c:pt idx="8">
                  <c:v>-2.7985508365736291</c:v>
                </c:pt>
                <c:pt idx="9">
                  <c:v>-2.501300471088757</c:v>
                </c:pt>
                <c:pt idx="10">
                  <c:v>-2.2040501056038848</c:v>
                </c:pt>
                <c:pt idx="11">
                  <c:v>-1.9067997401190127</c:v>
                </c:pt>
                <c:pt idx="12">
                  <c:v>-1.6095493746341405</c:v>
                </c:pt>
                <c:pt idx="13">
                  <c:v>-1.3122990091492683</c:v>
                </c:pt>
                <c:pt idx="14">
                  <c:v>-1.0150486436643962</c:v>
                </c:pt>
                <c:pt idx="15">
                  <c:v>-0.71779827817952402</c:v>
                </c:pt>
                <c:pt idx="16">
                  <c:v>-0.42054791269465186</c:v>
                </c:pt>
                <c:pt idx="17">
                  <c:v>-0.1232975472097797</c:v>
                </c:pt>
                <c:pt idx="18">
                  <c:v>0.17395281827509246</c:v>
                </c:pt>
                <c:pt idx="19">
                  <c:v>0.47120318375996462</c:v>
                </c:pt>
                <c:pt idx="20">
                  <c:v>0.76845354924483678</c:v>
                </c:pt>
                <c:pt idx="21">
                  <c:v>1.0657039147297089</c:v>
                </c:pt>
                <c:pt idx="22">
                  <c:v>1.3629542802145811</c:v>
                </c:pt>
                <c:pt idx="23">
                  <c:v>1.6602046456994533</c:v>
                </c:pt>
                <c:pt idx="24">
                  <c:v>1.9574550111843254</c:v>
                </c:pt>
                <c:pt idx="25">
                  <c:v>2.2547053766691976</c:v>
                </c:pt>
                <c:pt idx="26">
                  <c:v>2.5519557421540697</c:v>
                </c:pt>
                <c:pt idx="27">
                  <c:v>2.8492061076389419</c:v>
                </c:pt>
                <c:pt idx="28">
                  <c:v>3.146456473123814</c:v>
                </c:pt>
                <c:pt idx="29">
                  <c:v>3.4437068386086862</c:v>
                </c:pt>
                <c:pt idx="30">
                  <c:v>3.7409572040935584</c:v>
                </c:pt>
                <c:pt idx="31">
                  <c:v>4.0382075695784305</c:v>
                </c:pt>
                <c:pt idx="32">
                  <c:v>4.3354579350633031</c:v>
                </c:pt>
                <c:pt idx="33">
                  <c:v>4.6327083005481757</c:v>
                </c:pt>
                <c:pt idx="34">
                  <c:v>4.9299586660330448</c:v>
                </c:pt>
              </c:numCache>
            </c:numRef>
          </c:cat>
          <c:val>
            <c:numRef>
              <c:f>VaR!$L$11:$L$45</c:f>
              <c:numCache>
                <c:formatCode>0.00</c:formatCode>
                <c:ptCount val="3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6.709775121670794E-2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5-42B6-9805-1924B861A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8697328"/>
        <c:axId val="1568708848"/>
      </c:barChart>
      <c:lineChart>
        <c:grouping val="standard"/>
        <c:varyColors val="0"/>
        <c:ser>
          <c:idx val="0"/>
          <c:order val="0"/>
          <c:tx>
            <c:strRef>
              <c:f>VaR!$K$10</c:f>
              <c:strCache>
                <c:ptCount val="1"/>
                <c:pt idx="0">
                  <c:v>Normal Distn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VaR!$J$11:$J$45</c:f>
              <c:numCache>
                <c:formatCode>0.00</c:formatCode>
                <c:ptCount val="35"/>
                <c:pt idx="0">
                  <c:v>-5.1765537604526077</c:v>
                </c:pt>
                <c:pt idx="1">
                  <c:v>-4.8793033949677351</c:v>
                </c:pt>
                <c:pt idx="2">
                  <c:v>-4.5820530294828625</c:v>
                </c:pt>
                <c:pt idx="3">
                  <c:v>-4.2848026639979899</c:v>
                </c:pt>
                <c:pt idx="4">
                  <c:v>-3.9875522985131178</c:v>
                </c:pt>
                <c:pt idx="5">
                  <c:v>-3.6903019330282456</c:v>
                </c:pt>
                <c:pt idx="6">
                  <c:v>-3.3930515675433734</c:v>
                </c:pt>
                <c:pt idx="7">
                  <c:v>-3.0958012020585013</c:v>
                </c:pt>
                <c:pt idx="8">
                  <c:v>-2.7985508365736291</c:v>
                </c:pt>
                <c:pt idx="9">
                  <c:v>-2.501300471088757</c:v>
                </c:pt>
                <c:pt idx="10">
                  <c:v>-2.2040501056038848</c:v>
                </c:pt>
                <c:pt idx="11">
                  <c:v>-1.9067997401190127</c:v>
                </c:pt>
                <c:pt idx="12">
                  <c:v>-1.6095493746341405</c:v>
                </c:pt>
                <c:pt idx="13">
                  <c:v>-1.3122990091492683</c:v>
                </c:pt>
                <c:pt idx="14">
                  <c:v>-1.0150486436643962</c:v>
                </c:pt>
                <c:pt idx="15">
                  <c:v>-0.71779827817952402</c:v>
                </c:pt>
                <c:pt idx="16">
                  <c:v>-0.42054791269465186</c:v>
                </c:pt>
                <c:pt idx="17">
                  <c:v>-0.1232975472097797</c:v>
                </c:pt>
                <c:pt idx="18">
                  <c:v>0.17395281827509246</c:v>
                </c:pt>
                <c:pt idx="19">
                  <c:v>0.47120318375996462</c:v>
                </c:pt>
                <c:pt idx="20">
                  <c:v>0.76845354924483678</c:v>
                </c:pt>
                <c:pt idx="21">
                  <c:v>1.0657039147297089</c:v>
                </c:pt>
                <c:pt idx="22">
                  <c:v>1.3629542802145811</c:v>
                </c:pt>
                <c:pt idx="23">
                  <c:v>1.6602046456994533</c:v>
                </c:pt>
                <c:pt idx="24">
                  <c:v>1.9574550111843254</c:v>
                </c:pt>
                <c:pt idx="25">
                  <c:v>2.2547053766691976</c:v>
                </c:pt>
                <c:pt idx="26">
                  <c:v>2.5519557421540697</c:v>
                </c:pt>
                <c:pt idx="27">
                  <c:v>2.8492061076389419</c:v>
                </c:pt>
                <c:pt idx="28">
                  <c:v>3.146456473123814</c:v>
                </c:pt>
                <c:pt idx="29">
                  <c:v>3.4437068386086862</c:v>
                </c:pt>
                <c:pt idx="30">
                  <c:v>3.7409572040935584</c:v>
                </c:pt>
                <c:pt idx="31">
                  <c:v>4.0382075695784305</c:v>
                </c:pt>
                <c:pt idx="32">
                  <c:v>4.3354579350633031</c:v>
                </c:pt>
                <c:pt idx="33">
                  <c:v>4.6327083005481757</c:v>
                </c:pt>
                <c:pt idx="34">
                  <c:v>4.9299586660330448</c:v>
                </c:pt>
              </c:numCache>
            </c:numRef>
          </c:cat>
          <c:val>
            <c:numRef>
              <c:f>VaR!$K$11:$K$45</c:f>
              <c:numCache>
                <c:formatCode>0.00</c:formatCode>
                <c:ptCount val="35"/>
                <c:pt idx="0">
                  <c:v>2.6310847253244399E-3</c:v>
                </c:pt>
                <c:pt idx="1">
                  <c:v>4.3983832696993042E-3</c:v>
                </c:pt>
                <c:pt idx="2">
                  <c:v>7.1273250564506761E-3</c:v>
                </c:pt>
                <c:pt idx="3">
                  <c:v>1.1195289282649189E-2</c:v>
                </c:pt>
                <c:pt idx="4">
                  <c:v>1.7045876295480485E-2</c:v>
                </c:pt>
                <c:pt idx="5">
                  <c:v>2.5158144255351362E-2</c:v>
                </c:pt>
                <c:pt idx="6">
                  <c:v>3.5992592711273558E-2</c:v>
                </c:pt>
                <c:pt idx="7">
                  <c:v>4.9914062597795718E-2</c:v>
                </c:pt>
                <c:pt idx="8">
                  <c:v>6.709775121670794E-2</c:v>
                </c:pt>
                <c:pt idx="9">
                  <c:v>8.743156839174078E-2</c:v>
                </c:pt>
                <c:pt idx="10">
                  <c:v>0.11043426153636808</c:v>
                </c:pt>
                <c:pt idx="11">
                  <c:v>0.13521181799975976</c:v>
                </c:pt>
                <c:pt idx="12">
                  <c:v>0.16047254164586902</c:v>
                </c:pt>
                <c:pt idx="13">
                  <c:v>0.18461291028294893</c:v>
                </c:pt>
                <c:pt idx="14">
                  <c:v>0.20587265457114912</c:v>
                </c:pt>
                <c:pt idx="15">
                  <c:v>0.22254124767262048</c:v>
                </c:pt>
                <c:pt idx="16">
                  <c:v>0.23318340036895813</c:v>
                </c:pt>
                <c:pt idx="17">
                  <c:v>0.23684269918232748</c:v>
                </c:pt>
                <c:pt idx="18">
                  <c:v>0.23318340036895802</c:v>
                </c:pt>
                <c:pt idx="19">
                  <c:v>0.22254124767262026</c:v>
                </c:pt>
                <c:pt idx="20">
                  <c:v>0.20587265457114889</c:v>
                </c:pt>
                <c:pt idx="21">
                  <c:v>0.18461291028294866</c:v>
                </c:pt>
                <c:pt idx="22">
                  <c:v>0.16047254164586872</c:v>
                </c:pt>
                <c:pt idx="23">
                  <c:v>0.13521181799975948</c:v>
                </c:pt>
                <c:pt idx="24">
                  <c:v>0.11043426153636779</c:v>
                </c:pt>
                <c:pt idx="25">
                  <c:v>8.7431568391740516E-2</c:v>
                </c:pt>
                <c:pt idx="26">
                  <c:v>6.7097751216707691E-2</c:v>
                </c:pt>
                <c:pt idx="27">
                  <c:v>4.9914062597795517E-2</c:v>
                </c:pt>
                <c:pt idx="28">
                  <c:v>3.5992592711273405E-2</c:v>
                </c:pt>
                <c:pt idx="29">
                  <c:v>2.5158144255351251E-2</c:v>
                </c:pt>
                <c:pt idx="30">
                  <c:v>1.7045876295480395E-2</c:v>
                </c:pt>
                <c:pt idx="31">
                  <c:v>1.1195289282649127E-2</c:v>
                </c:pt>
                <c:pt idx="32">
                  <c:v>7.1273250564506301E-3</c:v>
                </c:pt>
                <c:pt idx="33">
                  <c:v>4.3983832696992764E-3</c:v>
                </c:pt>
                <c:pt idx="34">
                  <c:v>2.6310847253244399E-3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5-42B6-9805-1924B861A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8697328"/>
        <c:axId val="1568708848"/>
      </c:lineChart>
      <c:catAx>
        <c:axId val="156869732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708848"/>
        <c:crosses val="autoZero"/>
        <c:auto val="1"/>
        <c:lblAlgn val="ctr"/>
        <c:lblOffset val="100"/>
        <c:noMultiLvlLbl val="0"/>
      </c:catAx>
      <c:valAx>
        <c:axId val="156870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9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Histogram</a:t>
            </a:r>
            <a:r>
              <a:rPr lang="en-GB" baseline="0"/>
              <a:t> with Empirical VaR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VaR!$F$10</c:f>
              <c:strCache>
                <c:ptCount val="1"/>
                <c:pt idx="0">
                  <c:v>no. months in this bucket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VaR!$E$11:$E$45</c:f>
              <c:numCache>
                <c:formatCode>0.00</c:formatCode>
                <c:ptCount val="35"/>
                <c:pt idx="0">
                  <c:v>-5.1765537604526077</c:v>
                </c:pt>
                <c:pt idx="1">
                  <c:v>-4.8793033949677351</c:v>
                </c:pt>
                <c:pt idx="2">
                  <c:v>-4.5820530294828625</c:v>
                </c:pt>
                <c:pt idx="3">
                  <c:v>-4.2848026639979899</c:v>
                </c:pt>
                <c:pt idx="4">
                  <c:v>-3.9875522985131178</c:v>
                </c:pt>
                <c:pt idx="5">
                  <c:v>-3.6903019330282456</c:v>
                </c:pt>
                <c:pt idx="6">
                  <c:v>-3.3930515675433734</c:v>
                </c:pt>
                <c:pt idx="7">
                  <c:v>-3.0958012020585013</c:v>
                </c:pt>
                <c:pt idx="8">
                  <c:v>-2.7985508365736291</c:v>
                </c:pt>
                <c:pt idx="9">
                  <c:v>-2.501300471088757</c:v>
                </c:pt>
                <c:pt idx="10">
                  <c:v>-2.2040501056038848</c:v>
                </c:pt>
                <c:pt idx="11">
                  <c:v>-1.9067997401190127</c:v>
                </c:pt>
                <c:pt idx="12">
                  <c:v>-1.6095493746341405</c:v>
                </c:pt>
                <c:pt idx="13">
                  <c:v>-1.3122990091492683</c:v>
                </c:pt>
                <c:pt idx="14">
                  <c:v>-1.0150486436643962</c:v>
                </c:pt>
                <c:pt idx="15">
                  <c:v>-0.71779827817952402</c:v>
                </c:pt>
                <c:pt idx="16">
                  <c:v>-0.42054791269465186</c:v>
                </c:pt>
                <c:pt idx="17">
                  <c:v>-0.1232975472097797</c:v>
                </c:pt>
                <c:pt idx="18">
                  <c:v>0.17395281827509246</c:v>
                </c:pt>
                <c:pt idx="19">
                  <c:v>0.47120318375996462</c:v>
                </c:pt>
                <c:pt idx="20">
                  <c:v>0.76845354924483678</c:v>
                </c:pt>
                <c:pt idx="21">
                  <c:v>1.0657039147297089</c:v>
                </c:pt>
                <c:pt idx="22">
                  <c:v>1.3629542802145811</c:v>
                </c:pt>
                <c:pt idx="23">
                  <c:v>1.6602046456994533</c:v>
                </c:pt>
                <c:pt idx="24">
                  <c:v>1.9574550111843254</c:v>
                </c:pt>
                <c:pt idx="25">
                  <c:v>2.2547053766691976</c:v>
                </c:pt>
                <c:pt idx="26">
                  <c:v>2.5519557421540697</c:v>
                </c:pt>
                <c:pt idx="27">
                  <c:v>2.8492061076389419</c:v>
                </c:pt>
                <c:pt idx="28">
                  <c:v>3.146456473123814</c:v>
                </c:pt>
                <c:pt idx="29">
                  <c:v>3.4437068386086862</c:v>
                </c:pt>
                <c:pt idx="30">
                  <c:v>3.7409572040935584</c:v>
                </c:pt>
                <c:pt idx="31">
                  <c:v>4.0382075695784305</c:v>
                </c:pt>
                <c:pt idx="32">
                  <c:v>4.3354579350633031</c:v>
                </c:pt>
                <c:pt idx="33">
                  <c:v>4.6327083005481757</c:v>
                </c:pt>
                <c:pt idx="34">
                  <c:v>4.9299586660330448</c:v>
                </c:pt>
              </c:numCache>
            </c:numRef>
          </c:cat>
          <c:val>
            <c:numRef>
              <c:f>VaR!$F$11:$F$45</c:f>
              <c:numCache>
                <c:formatCode>0</c:formatCode>
                <c:ptCount val="3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5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4</c:v>
                </c:pt>
                <c:pt idx="23">
                  <c:v>2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A-482E-8678-58899E72AFDD}"/>
            </c:ext>
          </c:extLst>
        </c:ser>
        <c:ser>
          <c:idx val="1"/>
          <c:order val="1"/>
          <c:tx>
            <c:strRef>
              <c:f>VaR!$G$10</c:f>
              <c:strCache>
                <c:ptCount val="1"/>
                <c:pt idx="0">
                  <c:v>    Empirical VaR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VaR!$E$11:$E$45</c:f>
              <c:numCache>
                <c:formatCode>0.00</c:formatCode>
                <c:ptCount val="35"/>
                <c:pt idx="0">
                  <c:v>-5.1765537604526077</c:v>
                </c:pt>
                <c:pt idx="1">
                  <c:v>-4.8793033949677351</c:v>
                </c:pt>
                <c:pt idx="2">
                  <c:v>-4.5820530294828625</c:v>
                </c:pt>
                <c:pt idx="3">
                  <c:v>-4.2848026639979899</c:v>
                </c:pt>
                <c:pt idx="4">
                  <c:v>-3.9875522985131178</c:v>
                </c:pt>
                <c:pt idx="5">
                  <c:v>-3.6903019330282456</c:v>
                </c:pt>
                <c:pt idx="6">
                  <c:v>-3.3930515675433734</c:v>
                </c:pt>
                <c:pt idx="7">
                  <c:v>-3.0958012020585013</c:v>
                </c:pt>
                <c:pt idx="8">
                  <c:v>-2.7985508365736291</c:v>
                </c:pt>
                <c:pt idx="9">
                  <c:v>-2.501300471088757</c:v>
                </c:pt>
                <c:pt idx="10">
                  <c:v>-2.2040501056038848</c:v>
                </c:pt>
                <c:pt idx="11">
                  <c:v>-1.9067997401190127</c:v>
                </c:pt>
                <c:pt idx="12">
                  <c:v>-1.6095493746341405</c:v>
                </c:pt>
                <c:pt idx="13">
                  <c:v>-1.3122990091492683</c:v>
                </c:pt>
                <c:pt idx="14">
                  <c:v>-1.0150486436643962</c:v>
                </c:pt>
                <c:pt idx="15">
                  <c:v>-0.71779827817952402</c:v>
                </c:pt>
                <c:pt idx="16">
                  <c:v>-0.42054791269465186</c:v>
                </c:pt>
                <c:pt idx="17">
                  <c:v>-0.1232975472097797</c:v>
                </c:pt>
                <c:pt idx="18">
                  <c:v>0.17395281827509246</c:v>
                </c:pt>
                <c:pt idx="19">
                  <c:v>0.47120318375996462</c:v>
                </c:pt>
                <c:pt idx="20">
                  <c:v>0.76845354924483678</c:v>
                </c:pt>
                <c:pt idx="21">
                  <c:v>1.0657039147297089</c:v>
                </c:pt>
                <c:pt idx="22">
                  <c:v>1.3629542802145811</c:v>
                </c:pt>
                <c:pt idx="23">
                  <c:v>1.6602046456994533</c:v>
                </c:pt>
                <c:pt idx="24">
                  <c:v>1.9574550111843254</c:v>
                </c:pt>
                <c:pt idx="25">
                  <c:v>2.2547053766691976</c:v>
                </c:pt>
                <c:pt idx="26">
                  <c:v>2.5519557421540697</c:v>
                </c:pt>
                <c:pt idx="27">
                  <c:v>2.8492061076389419</c:v>
                </c:pt>
                <c:pt idx="28">
                  <c:v>3.146456473123814</c:v>
                </c:pt>
                <c:pt idx="29">
                  <c:v>3.4437068386086862</c:v>
                </c:pt>
                <c:pt idx="30">
                  <c:v>3.7409572040935584</c:v>
                </c:pt>
                <c:pt idx="31">
                  <c:v>4.0382075695784305</c:v>
                </c:pt>
                <c:pt idx="32">
                  <c:v>4.3354579350633031</c:v>
                </c:pt>
                <c:pt idx="33">
                  <c:v>4.6327083005481757</c:v>
                </c:pt>
                <c:pt idx="34">
                  <c:v>4.9299586660330448</c:v>
                </c:pt>
              </c:numCache>
            </c:numRef>
          </c:cat>
          <c:val>
            <c:numRef>
              <c:f>VaR!$G$11:$G$45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A-482E-8678-58899E72A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017242304"/>
        <c:axId val="1017242784"/>
      </c:barChart>
      <c:catAx>
        <c:axId val="101724230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242784"/>
        <c:crosses val="autoZero"/>
        <c:auto val="1"/>
        <c:lblAlgn val="ctr"/>
        <c:lblOffset val="100"/>
        <c:noMultiLvlLbl val="0"/>
      </c:catAx>
      <c:valAx>
        <c:axId val="10172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24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127000</xdr:colOff>
      <xdr:row>0</xdr:row>
      <xdr:rowOff>69850</xdr:rowOff>
    </xdr:from>
    <xdr:to>
      <xdr:col>9</xdr:col>
      <xdr:colOff>428927</xdr:colOff>
      <xdr:row>3</xdr:row>
      <xdr:rowOff>188817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161967-BC18-41FD-A400-96BEB0954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150" y="69850"/>
          <a:ext cx="3984927" cy="861917"/>
        </a:xfrm>
        <a:prstGeom prst="rect">
          <a:avLst/>
        </a:prstGeom>
      </xdr:spPr>
    </xdr:pic>
    <xdr:clientData/>
  </xdr:twoCellAnchor>
  <xdr:twoCellAnchor editAs="oneCell">
    <xdr:from>
      <xdr:col>0</xdr:col>
      <xdr:colOff>1109619</xdr:colOff>
      <xdr:row>2</xdr:row>
      <xdr:rowOff>201705</xdr:rowOff>
    </xdr:from>
    <xdr:to>
      <xdr:col>16</xdr:col>
      <xdr:colOff>519918</xdr:colOff>
      <xdr:row>31</xdr:row>
      <xdr:rowOff>172008</xdr:rowOff>
    </xdr:to>
    <xdr:pic>
      <xdr:nvPicPr>
        <xdr:cNvPr id="5" name="PicVar" hidden="1">
          <a:extLst>
            <a:ext uri="{FF2B5EF4-FFF2-40B4-BE49-F238E27FC236}">
              <a16:creationId xmlns:a16="http://schemas.microsoft.com/office/drawing/2014/main" id="{434695FE-1DB4-69C5-5F1A-40DC6E7CA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9619" y="694764"/>
          <a:ext cx="11609770" cy="723918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566356</xdr:colOff>
      <xdr:row>3</xdr:row>
      <xdr:rowOff>560</xdr:rowOff>
    </xdr:to>
    <xdr:pic macro="[0]!ThisWorkbook.ShowHideSlideVar">
      <xdr:nvPicPr>
        <xdr:cNvPr id="6" name="Picture 5">
          <a:extLst>
            <a:ext uri="{FF2B5EF4-FFF2-40B4-BE49-F238E27FC236}">
              <a16:creationId xmlns:a16="http://schemas.microsoft.com/office/drawing/2014/main" id="{71F2356D-4B69-4F7B-ABAA-D95D11BD4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588" y="246529"/>
          <a:ext cx="566356" cy="493619"/>
        </a:xfrm>
        <a:prstGeom prst="rect">
          <a:avLst/>
        </a:prstGeom>
      </xdr:spPr>
    </xdr:pic>
    <xdr:clientData/>
  </xdr:twoCellAnchor>
  <xdr:twoCellAnchor>
    <xdr:from>
      <xdr:col>16</xdr:col>
      <xdr:colOff>485587</xdr:colOff>
      <xdr:row>13</xdr:row>
      <xdr:rowOff>227104</xdr:rowOff>
    </xdr:from>
    <xdr:to>
      <xdr:col>25</xdr:col>
      <xdr:colOff>97117</xdr:colOff>
      <xdr:row>28</xdr:row>
      <xdr:rowOff>7470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7809722-9EAC-F011-3567-AC82B470A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500529</xdr:colOff>
      <xdr:row>0</xdr:row>
      <xdr:rowOff>7471</xdr:rowOff>
    </xdr:from>
    <xdr:to>
      <xdr:col>25</xdr:col>
      <xdr:colOff>97118</xdr:colOff>
      <xdr:row>13</xdr:row>
      <xdr:rowOff>116541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9B4A50F-A0E9-F6FC-BA79-AA609A3279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28989</xdr:colOff>
      <xdr:row>0</xdr:row>
      <xdr:rowOff>95284</xdr:rowOff>
    </xdr:from>
    <xdr:to>
      <xdr:col>18</xdr:col>
      <xdr:colOff>267416</xdr:colOff>
      <xdr:row>3</xdr:row>
      <xdr:rowOff>231288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1C1A20-C35E-46E4-B256-ACEFACE2B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1039" y="95284"/>
          <a:ext cx="4086527" cy="878954"/>
        </a:xfrm>
        <a:prstGeom prst="rect">
          <a:avLst/>
        </a:prstGeom>
      </xdr:spPr>
    </xdr:pic>
    <xdr:clientData/>
  </xdr:twoCellAnchor>
  <xdr:twoCellAnchor editAs="oneCell">
    <xdr:from>
      <xdr:col>10</xdr:col>
      <xdr:colOff>412474</xdr:colOff>
      <xdr:row>4</xdr:row>
      <xdr:rowOff>4142</xdr:rowOff>
    </xdr:from>
    <xdr:to>
      <xdr:col>17</xdr:col>
      <xdr:colOff>310270</xdr:colOff>
      <xdr:row>7</xdr:row>
      <xdr:rowOff>198542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26F1B-3393-49D0-A75B-CA87968A9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0924" y="994742"/>
          <a:ext cx="4387246" cy="937350"/>
        </a:xfrm>
        <a:prstGeom prst="rect">
          <a:avLst/>
        </a:prstGeom>
      </xdr:spPr>
    </xdr:pic>
    <xdr:clientData/>
  </xdr:twoCellAnchor>
  <xdr:twoCellAnchor editAs="oneCell">
    <xdr:from>
      <xdr:col>0</xdr:col>
      <xdr:colOff>641350</xdr:colOff>
      <xdr:row>3</xdr:row>
      <xdr:rowOff>40242</xdr:rowOff>
    </xdr:from>
    <xdr:to>
      <xdr:col>15</xdr:col>
      <xdr:colOff>475459</xdr:colOff>
      <xdr:row>29</xdr:row>
      <xdr:rowOff>134745</xdr:rowOff>
    </xdr:to>
    <xdr:pic>
      <xdr:nvPicPr>
        <xdr:cNvPr id="4" name="PicCvar" hidden="1">
          <a:extLst>
            <a:ext uri="{FF2B5EF4-FFF2-40B4-BE49-F238E27FC236}">
              <a16:creationId xmlns:a16="http://schemas.microsoft.com/office/drawing/2014/main" id="{6F4335F1-6391-23B5-47B3-C24E6390B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1350" y="783192"/>
          <a:ext cx="11492709" cy="6730253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</xdr:colOff>
      <xdr:row>0</xdr:row>
      <xdr:rowOff>171450</xdr:rowOff>
    </xdr:from>
    <xdr:to>
      <xdr:col>11</xdr:col>
      <xdr:colOff>585406</xdr:colOff>
      <xdr:row>2</xdr:row>
      <xdr:rowOff>169769</xdr:rowOff>
    </xdr:to>
    <xdr:pic macro="[0]!ThisWorkbook.ShowHideSlideCvar">
      <xdr:nvPicPr>
        <xdr:cNvPr id="5" name="Picture 4">
          <a:extLst>
            <a:ext uri="{FF2B5EF4-FFF2-40B4-BE49-F238E27FC236}">
              <a16:creationId xmlns:a16="http://schemas.microsoft.com/office/drawing/2014/main" id="{0A52FEC1-16A6-4747-822D-564165A86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50" y="171450"/>
          <a:ext cx="566356" cy="493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Risk%20Management\Training%20Material\Risk%20WEBINARS\Webinar%2011%20-%20risk%20session%20one.xlsx" TargetMode="External"/><Relationship Id="rId1" Type="http://schemas.openxmlformats.org/officeDocument/2006/relationships/externalLinkPath" Target="/Risk%20Management/Training%20Material/Risk%20WEBINARS/Webinar%2011%20-%20risk%20session%20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sclaimer"/>
      <sheetName val="VaR"/>
      <sheetName val="CVaR"/>
      <sheetName val="TE and IR"/>
      <sheetName val="TE timeweighted"/>
    </sheetNames>
    <sheetDataSet>
      <sheetData sheetId="0" refreshError="1"/>
      <sheetData sheetId="1">
        <row r="10">
          <cell r="F10" t="str">
            <v>no. months in this bucket</v>
          </cell>
        </row>
      </sheetData>
      <sheetData sheetId="2" refreshError="1"/>
      <sheetData sheetId="3" refreshError="1"/>
      <sheetData sheetId="4">
        <row r="10">
          <cell r="G10">
            <v>0.97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CAIM colours">
      <a:dk1>
        <a:srgbClr val="1A1816"/>
      </a:dk1>
      <a:lt1>
        <a:srgbClr val="F5F4F3"/>
      </a:lt1>
      <a:dk2>
        <a:srgbClr val="F5F4F3"/>
      </a:dk2>
      <a:lt2>
        <a:srgbClr val="F5F4F3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9B578"/>
      </a:hlink>
      <a:folHlink>
        <a:srgbClr val="E67F7C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99B8-0B78-40DD-B8E5-3B2E358F3271}">
  <sheetPr codeName="Sheet1"/>
  <dimension ref="A1:P70"/>
  <sheetViews>
    <sheetView zoomScale="82" zoomScaleNormal="85" workbookViewId="0">
      <selection activeCell="A4" sqref="A4"/>
    </sheetView>
  </sheetViews>
  <sheetFormatPr defaultColWidth="9.1796875" defaultRowHeight="19.5" customHeight="1" x14ac:dyDescent="0.35"/>
  <cols>
    <col min="1" max="1" width="25.54296875" style="1" customWidth="1"/>
    <col min="2" max="9" width="10.54296875" style="1" customWidth="1"/>
    <col min="10" max="16384" width="9.1796875" style="1"/>
  </cols>
  <sheetData>
    <row r="1" spans="1:16" ht="19.5" customHeight="1" thickBot="1" x14ac:dyDescent="0.4">
      <c r="A1" s="32" t="s">
        <v>4</v>
      </c>
      <c r="B1" s="32"/>
    </row>
    <row r="2" spans="1:16" ht="19.5" customHeight="1" thickBot="1" x14ac:dyDescent="0.4">
      <c r="A2" s="2" t="s">
        <v>0</v>
      </c>
      <c r="B2" s="3">
        <f>AVERAGE(B11:B70)</f>
        <v>-0.12329754720978145</v>
      </c>
      <c r="C2" s="4">
        <f>AVERAGE(B11:B70)</f>
        <v>-0.12329754720978145</v>
      </c>
      <c r="M2" s="27">
        <v>0</v>
      </c>
    </row>
    <row r="3" spans="1:16" ht="19.5" customHeight="1" thickBot="1" x14ac:dyDescent="0.4">
      <c r="A3" s="2" t="s">
        <v>1</v>
      </c>
      <c r="B3" s="3">
        <f>_xlfn.STDEV.S(B11:B70)</f>
        <v>1.6844187377476088</v>
      </c>
      <c r="C3" s="4">
        <f>_xlfn.STDEV.S(B11:B70)</f>
        <v>1.6844187377476088</v>
      </c>
    </row>
    <row r="4" spans="1:16" ht="19.5" customHeight="1" thickBot="1" x14ac:dyDescent="0.4">
      <c r="A4" s="2" t="s">
        <v>2</v>
      </c>
      <c r="B4" s="5">
        <v>0.95</v>
      </c>
      <c r="C4" s="4"/>
    </row>
    <row r="5" spans="1:16" ht="19.5" customHeight="1" thickBot="1" x14ac:dyDescent="0.4">
      <c r="A5" s="6" t="s">
        <v>3</v>
      </c>
      <c r="B5" s="3">
        <f>_xlfn.NORM.S.INV(1-B4)</f>
        <v>-1.6448536269514715</v>
      </c>
      <c r="C5" s="4">
        <f>_xlfn.NORM.S.INV(1-B4)</f>
        <v>-1.6448536269514715</v>
      </c>
    </row>
    <row r="6" spans="1:16" ht="19.5" customHeight="1" thickBot="1" x14ac:dyDescent="0.4">
      <c r="A6" s="2" t="s">
        <v>4</v>
      </c>
      <c r="B6" s="7"/>
      <c r="C6" s="4"/>
    </row>
    <row r="7" spans="1:16" ht="19.5" customHeight="1" x14ac:dyDescent="0.35">
      <c r="A7" s="8" t="s">
        <v>5</v>
      </c>
      <c r="B7" s="9">
        <f>B2+(B5*B3)</f>
        <v>-2.8939198172989551</v>
      </c>
      <c r="C7" s="4">
        <f>B2+(B5*B3)</f>
        <v>-2.8939198172989551</v>
      </c>
      <c r="D7" s="10"/>
    </row>
    <row r="8" spans="1:16" ht="19.5" customHeight="1" x14ac:dyDescent="0.35">
      <c r="A8" s="8" t="s">
        <v>6</v>
      </c>
      <c r="B8" s="11">
        <f>LARGE(B11:B70,K8)</f>
        <v>-2.6175212402140158</v>
      </c>
      <c r="C8" s="4">
        <f>_xlfn.PERCENTILE.INC(B11:B70,1-B4)</f>
        <v>-2.636918911551108</v>
      </c>
      <c r="D8" s="10"/>
      <c r="J8" s="1" t="s">
        <v>18</v>
      </c>
      <c r="K8" s="1">
        <f>MAX(A11:A500)*B4</f>
        <v>57</v>
      </c>
    </row>
    <row r="9" spans="1:16" ht="19.5" customHeight="1" x14ac:dyDescent="0.35">
      <c r="A9" s="6"/>
      <c r="B9" s="6"/>
      <c r="C9" s="10"/>
      <c r="D9" s="10"/>
      <c r="E9" s="1" t="s">
        <v>16</v>
      </c>
      <c r="J9" s="1" t="s">
        <v>15</v>
      </c>
      <c r="O9" s="1" t="s">
        <v>19</v>
      </c>
    </row>
    <row r="10" spans="1:16" s="16" customFormat="1" ht="29" x14ac:dyDescent="0.35">
      <c r="A10" s="12" t="s">
        <v>7</v>
      </c>
      <c r="B10" s="13" t="s">
        <v>8</v>
      </c>
      <c r="C10" s="14"/>
      <c r="D10" s="15"/>
      <c r="E10" s="17"/>
      <c r="F10" s="16" t="s">
        <v>9</v>
      </c>
      <c r="G10" s="20" t="str">
        <f>A8</f>
        <v xml:space="preserve">    Empirical VaR</v>
      </c>
      <c r="K10" s="16" t="s">
        <v>17</v>
      </c>
      <c r="L10" s="16" t="str">
        <f>A7</f>
        <v xml:space="preserve">    Parametic VaR</v>
      </c>
      <c r="P10" s="16" t="s">
        <v>10</v>
      </c>
    </row>
    <row r="11" spans="1:16" s="14" customFormat="1" ht="19.5" customHeight="1" x14ac:dyDescent="0.35">
      <c r="A11" s="16">
        <v>1</v>
      </c>
      <c r="B11" s="17">
        <v>0.18500889599100123</v>
      </c>
      <c r="C11" s="30">
        <f>RANK(B11,$B$11:$B$70)</f>
        <v>27</v>
      </c>
      <c r="E11" s="25">
        <f>B2-(3*B3)</f>
        <v>-5.1765537604526077</v>
      </c>
      <c r="F11" s="14">
        <f>COUNTIF($B$11:$B$70,"&lt;"&amp;E11)</f>
        <v>0</v>
      </c>
      <c r="G11" s="29">
        <f>IF(AND($B$8&lt;E11),F11,0)</f>
        <v>0</v>
      </c>
      <c r="J11" s="25">
        <f>B2-(3*B3)</f>
        <v>-5.1765537604526077</v>
      </c>
      <c r="K11" s="25">
        <f>_xlfn.NORM.DIST(J11,$B$2,$B$3,FALSE)</f>
        <v>2.6310847253244399E-3</v>
      </c>
      <c r="O11" s="14">
        <v>1</v>
      </c>
      <c r="P11" s="17">
        <f>_xlfn.XLOOKUP(O11,$C$11:$C$70,$B$11:$B$70)</f>
        <v>3.6058675096936943</v>
      </c>
    </row>
    <row r="12" spans="1:16" s="14" customFormat="1" ht="19.5" customHeight="1" x14ac:dyDescent="0.35">
      <c r="A12" s="16">
        <v>2</v>
      </c>
      <c r="B12" s="17">
        <v>-1.0096313199052798</v>
      </c>
      <c r="C12" s="30">
        <f t="shared" ref="C12:C70" si="0">RANK(B12,$B$11:$B$70)</f>
        <v>41</v>
      </c>
      <c r="E12" s="25">
        <f>E11+(($E$45-$E$11)/34)</f>
        <v>-4.8793033949677351</v>
      </c>
      <c r="F12" s="28">
        <f>COUNTIF($B$11:$B$70,"&lt;"&amp;E12)-SUM(F$11:F11)</f>
        <v>0</v>
      </c>
      <c r="G12" s="29">
        <f t="shared" ref="G12:G45" si="1">IF(AND($B$8&lt;E12,$B$8&gt;E11),F12,0)</f>
        <v>0</v>
      </c>
      <c r="J12" s="25">
        <f>J11+(($J$45-$J$11)/34)</f>
        <v>-4.8793033949677351</v>
      </c>
      <c r="K12" s="25">
        <f t="shared" ref="K12:K45" si="2">_xlfn.NORM.DIST(J12,$B$2,$B$3,FALSE)</f>
        <v>4.3983832696993042E-3</v>
      </c>
      <c r="L12" s="25">
        <f>IF(AND($B$7&lt;J12,$B$7&gt;J11),K12,0)</f>
        <v>0</v>
      </c>
      <c r="O12" s="14">
        <v>2</v>
      </c>
      <c r="P12" s="17">
        <f t="shared" ref="P12:P70" si="3">_xlfn.XLOOKUP(O12,$C$11:$C$70,$B$11:$B$70)</f>
        <v>3.4108103352938235</v>
      </c>
    </row>
    <row r="13" spans="1:16" s="14" customFormat="1" ht="19.5" customHeight="1" x14ac:dyDescent="0.35">
      <c r="A13" s="16">
        <v>3</v>
      </c>
      <c r="B13" s="17">
        <v>0.38089454052951943</v>
      </c>
      <c r="C13" s="30">
        <f t="shared" si="0"/>
        <v>24</v>
      </c>
      <c r="E13" s="25">
        <f t="shared" ref="E13:E44" si="4">E12+(($E$45-$E$11)/34)</f>
        <v>-4.5820530294828625</v>
      </c>
      <c r="F13" s="28">
        <f>COUNTIF($B$11:$B$70,"&lt;"&amp;E13)-SUM(F$11:F12)</f>
        <v>0</v>
      </c>
      <c r="G13" s="29">
        <f t="shared" si="1"/>
        <v>0</v>
      </c>
      <c r="J13" s="25">
        <f t="shared" ref="J13:J44" si="5">J12+(($J$45-$J$11)/34)</f>
        <v>-4.5820530294828625</v>
      </c>
      <c r="K13" s="25">
        <f t="shared" si="2"/>
        <v>7.1273250564506761E-3</v>
      </c>
      <c r="L13" s="25">
        <f t="shared" ref="L13:L45" si="6">IF(AND($B$7&lt;J13,$B$7&gt;J12),K13,0)</f>
        <v>0</v>
      </c>
      <c r="O13" s="14">
        <v>3</v>
      </c>
      <c r="P13" s="17">
        <f t="shared" si="3"/>
        <v>2.9576955176613406</v>
      </c>
    </row>
    <row r="14" spans="1:16" s="14" customFormat="1" ht="19.5" customHeight="1" x14ac:dyDescent="0.35">
      <c r="A14" s="16">
        <v>4</v>
      </c>
      <c r="B14" s="17">
        <v>-0.28269958831873554</v>
      </c>
      <c r="C14" s="30">
        <f t="shared" si="0"/>
        <v>32</v>
      </c>
      <c r="E14" s="25">
        <f t="shared" si="4"/>
        <v>-4.2848026639979899</v>
      </c>
      <c r="F14" s="28">
        <f>COUNTIF($B$11:$B$70,"&lt;"&amp;E14)-SUM(F$11:F13)</f>
        <v>0</v>
      </c>
      <c r="G14" s="29">
        <f t="shared" si="1"/>
        <v>0</v>
      </c>
      <c r="J14" s="25">
        <f t="shared" si="5"/>
        <v>-4.2848026639979899</v>
      </c>
      <c r="K14" s="25">
        <f t="shared" si="2"/>
        <v>1.1195289282649189E-2</v>
      </c>
      <c r="L14" s="25">
        <f t="shared" si="6"/>
        <v>0</v>
      </c>
      <c r="O14" s="14">
        <v>4</v>
      </c>
      <c r="P14" s="17">
        <f t="shared" si="3"/>
        <v>2.8126175985148771</v>
      </c>
    </row>
    <row r="15" spans="1:16" s="14" customFormat="1" ht="19.5" customHeight="1" x14ac:dyDescent="0.35">
      <c r="A15" s="16">
        <v>5</v>
      </c>
      <c r="B15" s="17">
        <v>-1.1228896488291951</v>
      </c>
      <c r="C15" s="30">
        <f t="shared" si="0"/>
        <v>43</v>
      </c>
      <c r="E15" s="25">
        <f t="shared" si="4"/>
        <v>-3.9875522985131178</v>
      </c>
      <c r="F15" s="28">
        <f>COUNTIF($B$11:$B$70,"&lt;"&amp;E15)-SUM(F$11:F14)</f>
        <v>0</v>
      </c>
      <c r="G15" s="29">
        <f t="shared" si="1"/>
        <v>0</v>
      </c>
      <c r="J15" s="25">
        <f t="shared" si="5"/>
        <v>-3.9875522985131178</v>
      </c>
      <c r="K15" s="25">
        <f t="shared" si="2"/>
        <v>1.7045876295480485E-2</v>
      </c>
      <c r="L15" s="25">
        <f t="shared" si="6"/>
        <v>0</v>
      </c>
      <c r="O15" s="14">
        <v>5</v>
      </c>
      <c r="P15" s="17">
        <f t="shared" si="3"/>
        <v>2.5942010417448813</v>
      </c>
    </row>
    <row r="16" spans="1:16" s="14" customFormat="1" ht="19.5" customHeight="1" x14ac:dyDescent="0.35">
      <c r="A16" s="16">
        <v>6</v>
      </c>
      <c r="B16" s="17">
        <v>-2.2862166673725981</v>
      </c>
      <c r="C16" s="30">
        <f t="shared" si="0"/>
        <v>52</v>
      </c>
      <c r="E16" s="25">
        <f t="shared" si="4"/>
        <v>-3.6903019330282456</v>
      </c>
      <c r="F16" s="28">
        <f>COUNTIF($B$11:$B$70,"&lt;"&amp;E16)-SUM(F$11:F15)</f>
        <v>1</v>
      </c>
      <c r="G16" s="29">
        <f t="shared" si="1"/>
        <v>0</v>
      </c>
      <c r="J16" s="25">
        <f t="shared" si="5"/>
        <v>-3.6903019330282456</v>
      </c>
      <c r="K16" s="25">
        <f t="shared" si="2"/>
        <v>2.5158144255351362E-2</v>
      </c>
      <c r="L16" s="25">
        <f t="shared" si="6"/>
        <v>0</v>
      </c>
      <c r="O16" s="14">
        <v>6</v>
      </c>
      <c r="P16" s="17">
        <f t="shared" si="3"/>
        <v>2.2445488625739252</v>
      </c>
    </row>
    <row r="17" spans="1:16" s="14" customFormat="1" ht="19.5" customHeight="1" x14ac:dyDescent="0.35">
      <c r="A17" s="16">
        <v>7</v>
      </c>
      <c r="B17" s="17">
        <v>-1.2653570914514911</v>
      </c>
      <c r="C17" s="30">
        <f t="shared" si="0"/>
        <v>46</v>
      </c>
      <c r="E17" s="25">
        <f t="shared" si="4"/>
        <v>-3.3930515675433734</v>
      </c>
      <c r="F17" s="28">
        <f>COUNTIF($B$11:$B$70,"&lt;"&amp;E17)-SUM(F$11:F16)</f>
        <v>0</v>
      </c>
      <c r="G17" s="29">
        <f t="shared" si="1"/>
        <v>0</v>
      </c>
      <c r="J17" s="25">
        <f t="shared" si="5"/>
        <v>-3.3930515675433734</v>
      </c>
      <c r="K17" s="25">
        <f t="shared" si="2"/>
        <v>3.5992592711273558E-2</v>
      </c>
      <c r="L17" s="25">
        <f t="shared" si="6"/>
        <v>0</v>
      </c>
      <c r="O17" s="14">
        <v>7</v>
      </c>
      <c r="P17" s="17">
        <f t="shared" si="3"/>
        <v>2.2345287130690394</v>
      </c>
    </row>
    <row r="18" spans="1:16" s="14" customFormat="1" ht="19.5" customHeight="1" x14ac:dyDescent="0.35">
      <c r="A18" s="16">
        <v>8</v>
      </c>
      <c r="B18" s="17">
        <v>0.84046100400529955</v>
      </c>
      <c r="C18" s="30">
        <f t="shared" si="0"/>
        <v>18</v>
      </c>
      <c r="E18" s="25">
        <f t="shared" si="4"/>
        <v>-3.0958012020585013</v>
      </c>
      <c r="F18" s="28">
        <f>COUNTIF($B$11:$B$70,"&lt;"&amp;E18)-SUM(F$11:F17)</f>
        <v>1</v>
      </c>
      <c r="G18" s="29">
        <f t="shared" si="1"/>
        <v>0</v>
      </c>
      <c r="J18" s="25">
        <f t="shared" si="5"/>
        <v>-3.0958012020585013</v>
      </c>
      <c r="K18" s="25">
        <f t="shared" si="2"/>
        <v>4.9914062597795718E-2</v>
      </c>
      <c r="L18" s="25">
        <f t="shared" si="6"/>
        <v>0</v>
      </c>
      <c r="O18" s="14">
        <v>8</v>
      </c>
      <c r="P18" s="17">
        <f t="shared" si="3"/>
        <v>1.65865653968571</v>
      </c>
    </row>
    <row r="19" spans="1:16" s="14" customFormat="1" ht="19.5" customHeight="1" x14ac:dyDescent="0.35">
      <c r="A19" s="16">
        <v>9</v>
      </c>
      <c r="B19" s="17">
        <v>0.29767087748440169</v>
      </c>
      <c r="C19" s="30">
        <f t="shared" si="0"/>
        <v>25</v>
      </c>
      <c r="E19" s="25">
        <f t="shared" si="4"/>
        <v>-2.7985508365736291</v>
      </c>
      <c r="F19" s="28">
        <f>COUNTIF($B$11:$B$70,"&lt;"&amp;E19)-SUM(F$11:F18)</f>
        <v>1</v>
      </c>
      <c r="G19" s="29">
        <f t="shared" si="1"/>
        <v>0</v>
      </c>
      <c r="J19" s="25">
        <f t="shared" si="5"/>
        <v>-2.7985508365736291</v>
      </c>
      <c r="K19" s="25">
        <f t="shared" si="2"/>
        <v>6.709775121670794E-2</v>
      </c>
      <c r="L19" s="25">
        <f t="shared" si="6"/>
        <v>6.709775121670794E-2</v>
      </c>
      <c r="O19" s="14">
        <v>9</v>
      </c>
      <c r="P19" s="17">
        <f t="shared" si="3"/>
        <v>1.4948289748290211</v>
      </c>
    </row>
    <row r="20" spans="1:16" s="14" customFormat="1" ht="19.5" customHeight="1" x14ac:dyDescent="0.35">
      <c r="A20" s="16">
        <v>10</v>
      </c>
      <c r="B20" s="17">
        <v>0.86882529944476428</v>
      </c>
      <c r="C20" s="30">
        <f t="shared" si="0"/>
        <v>17</v>
      </c>
      <c r="E20" s="25">
        <f t="shared" si="4"/>
        <v>-2.501300471088757</v>
      </c>
      <c r="F20" s="28">
        <f>COUNTIF($B$11:$B$70,"&lt;"&amp;E20)-SUM(F$11:F19)</f>
        <v>1</v>
      </c>
      <c r="G20" s="29">
        <f t="shared" si="1"/>
        <v>1</v>
      </c>
      <c r="J20" s="25">
        <f t="shared" si="5"/>
        <v>-2.501300471088757</v>
      </c>
      <c r="K20" s="25">
        <f t="shared" si="2"/>
        <v>8.743156839174078E-2</v>
      </c>
      <c r="L20" s="25">
        <f t="shared" si="6"/>
        <v>0</v>
      </c>
      <c r="O20" s="14">
        <v>10</v>
      </c>
      <c r="P20" s="17">
        <f t="shared" si="3"/>
        <v>1.3395155145788706</v>
      </c>
    </row>
    <row r="21" spans="1:16" s="14" customFormat="1" ht="19.5" customHeight="1" x14ac:dyDescent="0.35">
      <c r="A21" s="16">
        <v>11</v>
      </c>
      <c r="B21" s="17">
        <v>1.3395155145788706</v>
      </c>
      <c r="C21" s="30">
        <f t="shared" si="0"/>
        <v>10</v>
      </c>
      <c r="E21" s="25">
        <f t="shared" si="4"/>
        <v>-2.2040501056038848</v>
      </c>
      <c r="F21" s="28">
        <f>COUNTIF($B$11:$B$70,"&lt;"&amp;E21)-SUM(F$11:F20)</f>
        <v>5</v>
      </c>
      <c r="G21" s="29">
        <f t="shared" si="1"/>
        <v>0</v>
      </c>
      <c r="J21" s="25">
        <f t="shared" si="5"/>
        <v>-2.2040501056038848</v>
      </c>
      <c r="K21" s="25">
        <f t="shared" si="2"/>
        <v>0.11043426153636808</v>
      </c>
      <c r="L21" s="25">
        <f t="shared" si="6"/>
        <v>0</v>
      </c>
      <c r="O21" s="14">
        <v>11</v>
      </c>
      <c r="P21" s="17">
        <f t="shared" si="3"/>
        <v>1.3087645092837219</v>
      </c>
    </row>
    <row r="22" spans="1:16" s="14" customFormat="1" ht="19.5" customHeight="1" x14ac:dyDescent="0.35">
      <c r="A22" s="16">
        <v>12</v>
      </c>
      <c r="B22" s="17">
        <v>-0.15608667247386521</v>
      </c>
      <c r="C22" s="30">
        <f t="shared" si="0"/>
        <v>30</v>
      </c>
      <c r="E22" s="25">
        <f t="shared" si="4"/>
        <v>-1.9067997401190127</v>
      </c>
      <c r="F22" s="28">
        <f>COUNTIF($B$11:$B$70,"&lt;"&amp;E22)-SUM(F$11:F21)</f>
        <v>0</v>
      </c>
      <c r="G22" s="29">
        <f t="shared" si="1"/>
        <v>0</v>
      </c>
      <c r="J22" s="25">
        <f t="shared" si="5"/>
        <v>-1.9067997401190127</v>
      </c>
      <c r="K22" s="25">
        <f t="shared" si="2"/>
        <v>0.13521181799975976</v>
      </c>
      <c r="L22" s="25">
        <f t="shared" si="6"/>
        <v>0</v>
      </c>
      <c r="O22" s="14">
        <v>12</v>
      </c>
      <c r="P22" s="17">
        <f t="shared" si="3"/>
        <v>1.2934081144514664</v>
      </c>
    </row>
    <row r="23" spans="1:16" s="14" customFormat="1" ht="19.5" customHeight="1" x14ac:dyDescent="0.35">
      <c r="A23" s="16">
        <v>13</v>
      </c>
      <c r="B23" s="17">
        <v>-1.2014615583012089</v>
      </c>
      <c r="C23" s="30">
        <f t="shared" si="0"/>
        <v>44</v>
      </c>
      <c r="E23" s="25">
        <f t="shared" si="4"/>
        <v>-1.6095493746341405</v>
      </c>
      <c r="F23" s="28">
        <f>COUNTIF($B$11:$B$70,"&lt;"&amp;E23)-SUM(F$11:F22)</f>
        <v>2</v>
      </c>
      <c r="G23" s="29">
        <f t="shared" si="1"/>
        <v>0</v>
      </c>
      <c r="J23" s="25">
        <f t="shared" si="5"/>
        <v>-1.6095493746341405</v>
      </c>
      <c r="K23" s="25">
        <f t="shared" si="2"/>
        <v>0.16047254164586902</v>
      </c>
      <c r="L23" s="25">
        <f t="shared" si="6"/>
        <v>0</v>
      </c>
      <c r="O23" s="14">
        <v>13</v>
      </c>
      <c r="P23" s="17">
        <f t="shared" si="3"/>
        <v>1.2236529524783046</v>
      </c>
    </row>
    <row r="24" spans="1:16" s="14" customFormat="1" ht="19.5" customHeight="1" x14ac:dyDescent="0.35">
      <c r="A24" s="16">
        <v>14</v>
      </c>
      <c r="B24" s="17">
        <v>3.1127562849819768E-2</v>
      </c>
      <c r="C24" s="30">
        <f t="shared" si="0"/>
        <v>29</v>
      </c>
      <c r="E24" s="25">
        <f t="shared" si="4"/>
        <v>-1.3122990091492683</v>
      </c>
      <c r="F24" s="28">
        <f>COUNTIF($B$11:$B$70,"&lt;"&amp;E24)-SUM(F$11:F23)</f>
        <v>3</v>
      </c>
      <c r="G24" s="29">
        <f t="shared" si="1"/>
        <v>0</v>
      </c>
      <c r="J24" s="25">
        <f t="shared" si="5"/>
        <v>-1.3122990091492683</v>
      </c>
      <c r="K24" s="25">
        <f t="shared" si="2"/>
        <v>0.18461291028294893</v>
      </c>
      <c r="L24" s="25">
        <f t="shared" si="6"/>
        <v>0</v>
      </c>
      <c r="O24" s="14">
        <v>14</v>
      </c>
      <c r="P24" s="17">
        <f t="shared" si="3"/>
        <v>1.0307957423734804</v>
      </c>
    </row>
    <row r="25" spans="1:16" s="14" customFormat="1" ht="19.5" customHeight="1" x14ac:dyDescent="0.35">
      <c r="A25" s="16">
        <v>15</v>
      </c>
      <c r="B25" s="17">
        <v>0.89050093712257361</v>
      </c>
      <c r="C25" s="30">
        <f t="shared" si="0"/>
        <v>16</v>
      </c>
      <c r="E25" s="25">
        <f t="shared" si="4"/>
        <v>-1.0150486436643962</v>
      </c>
      <c r="F25" s="28">
        <f>COUNTIF($B$11:$B$70,"&lt;"&amp;E25)-SUM(F$11:F24)</f>
        <v>5</v>
      </c>
      <c r="G25" s="29">
        <f t="shared" si="1"/>
        <v>0</v>
      </c>
      <c r="J25" s="25">
        <f t="shared" si="5"/>
        <v>-1.0150486436643962</v>
      </c>
      <c r="K25" s="25">
        <f t="shared" si="2"/>
        <v>0.20587265457114912</v>
      </c>
      <c r="L25" s="25">
        <f t="shared" si="6"/>
        <v>0</v>
      </c>
      <c r="O25" s="14">
        <v>15</v>
      </c>
      <c r="P25" s="17">
        <f t="shared" si="3"/>
        <v>1.0263927903990666</v>
      </c>
    </row>
    <row r="26" spans="1:16" s="14" customFormat="1" ht="19.5" customHeight="1" x14ac:dyDescent="0.35">
      <c r="A26" s="16">
        <v>16</v>
      </c>
      <c r="B26" s="17">
        <v>-0.57005265768458324</v>
      </c>
      <c r="C26" s="30">
        <f t="shared" si="0"/>
        <v>36</v>
      </c>
      <c r="E26" s="25">
        <f t="shared" si="4"/>
        <v>-0.71779827817952402</v>
      </c>
      <c r="F26" s="28">
        <f>COUNTIF($B$11:$B$70,"&lt;"&amp;E26)-SUM(F$11:F25)</f>
        <v>4</v>
      </c>
      <c r="G26" s="29">
        <f t="shared" si="1"/>
        <v>0</v>
      </c>
      <c r="J26" s="25">
        <f t="shared" si="5"/>
        <v>-0.71779827817952402</v>
      </c>
      <c r="K26" s="25">
        <f t="shared" si="2"/>
        <v>0.22254124767262048</v>
      </c>
      <c r="L26" s="25">
        <f t="shared" si="6"/>
        <v>0</v>
      </c>
      <c r="O26" s="14">
        <v>16</v>
      </c>
      <c r="P26" s="17">
        <f t="shared" si="3"/>
        <v>0.89050093712257361</v>
      </c>
    </row>
    <row r="27" spans="1:16" s="14" customFormat="1" ht="19.5" customHeight="1" x14ac:dyDescent="0.35">
      <c r="A27" s="16">
        <v>17</v>
      </c>
      <c r="B27" s="17">
        <v>-1.8864479239942833</v>
      </c>
      <c r="C27" s="30">
        <f t="shared" si="0"/>
        <v>51</v>
      </c>
      <c r="E27" s="25">
        <f t="shared" si="4"/>
        <v>-0.42054791269465186</v>
      </c>
      <c r="F27" s="28">
        <f>COUNTIF($B$11:$B$70,"&lt;"&amp;E27)-SUM(F$11:F26)</f>
        <v>3</v>
      </c>
      <c r="G27" s="29">
        <f t="shared" si="1"/>
        <v>0</v>
      </c>
      <c r="J27" s="25">
        <f t="shared" si="5"/>
        <v>-0.42054791269465186</v>
      </c>
      <c r="K27" s="25">
        <f t="shared" si="2"/>
        <v>0.23318340036895813</v>
      </c>
      <c r="L27" s="25">
        <f t="shared" si="6"/>
        <v>0</v>
      </c>
      <c r="O27" s="14">
        <v>17</v>
      </c>
      <c r="P27" s="17">
        <f t="shared" si="3"/>
        <v>0.86882529944476428</v>
      </c>
    </row>
    <row r="28" spans="1:16" s="14" customFormat="1" ht="19.5" customHeight="1" x14ac:dyDescent="0.35">
      <c r="A28" s="16">
        <v>18</v>
      </c>
      <c r="B28" s="17">
        <v>-0.75924389532928682</v>
      </c>
      <c r="C28" s="30">
        <f t="shared" si="0"/>
        <v>40</v>
      </c>
      <c r="E28" s="25">
        <f t="shared" si="4"/>
        <v>-0.1232975472097797</v>
      </c>
      <c r="F28" s="28">
        <f>COUNTIF($B$11:$B$70,"&lt;"&amp;E28)-SUM(F$11:F27)</f>
        <v>5</v>
      </c>
      <c r="G28" s="29">
        <f t="shared" si="1"/>
        <v>0</v>
      </c>
      <c r="J28" s="25">
        <f t="shared" si="5"/>
        <v>-0.1232975472097797</v>
      </c>
      <c r="K28" s="25">
        <f t="shared" si="2"/>
        <v>0.23684269918232748</v>
      </c>
      <c r="L28" s="25">
        <f t="shared" si="6"/>
        <v>0</v>
      </c>
      <c r="O28" s="14">
        <v>18</v>
      </c>
      <c r="P28" s="17">
        <f t="shared" si="3"/>
        <v>0.84046100400529955</v>
      </c>
    </row>
    <row r="29" spans="1:16" s="14" customFormat="1" ht="19.5" customHeight="1" x14ac:dyDescent="0.35">
      <c r="A29" s="16">
        <v>19</v>
      </c>
      <c r="B29" s="17">
        <v>-3.0054746669558874</v>
      </c>
      <c r="C29" s="30">
        <f t="shared" si="0"/>
        <v>58</v>
      </c>
      <c r="E29" s="25">
        <f t="shared" si="4"/>
        <v>0.17395281827509246</v>
      </c>
      <c r="F29" s="28">
        <f>COUNTIF($B$11:$B$70,"&lt;"&amp;E29)-SUM(F$11:F28)</f>
        <v>2</v>
      </c>
      <c r="G29" s="29">
        <f t="shared" si="1"/>
        <v>0</v>
      </c>
      <c r="J29" s="25">
        <f t="shared" si="5"/>
        <v>0.17395281827509246</v>
      </c>
      <c r="K29" s="25">
        <f t="shared" si="2"/>
        <v>0.23318340036895802</v>
      </c>
      <c r="L29" s="25">
        <f t="shared" si="6"/>
        <v>0</v>
      </c>
      <c r="O29" s="14">
        <v>19</v>
      </c>
      <c r="P29" s="17">
        <f t="shared" si="3"/>
        <v>0.8206088229530728</v>
      </c>
    </row>
    <row r="30" spans="1:16" s="14" customFormat="1" ht="19.5" customHeight="1" x14ac:dyDescent="0.35">
      <c r="A30" s="16">
        <v>20</v>
      </c>
      <c r="B30" s="17">
        <v>-3.2081456896948302</v>
      </c>
      <c r="C30" s="30">
        <f t="shared" si="0"/>
        <v>59</v>
      </c>
      <c r="E30" s="25">
        <f t="shared" si="4"/>
        <v>0.47120318375996462</v>
      </c>
      <c r="F30" s="28">
        <f>COUNTIF($B$11:$B$70,"&lt;"&amp;E30)-SUM(F$11:F29)</f>
        <v>4</v>
      </c>
      <c r="G30" s="29">
        <f t="shared" si="1"/>
        <v>0</v>
      </c>
      <c r="J30" s="25">
        <f t="shared" si="5"/>
        <v>0.47120318375996462</v>
      </c>
      <c r="K30" s="25">
        <f t="shared" si="2"/>
        <v>0.22254124767262026</v>
      </c>
      <c r="L30" s="25">
        <f t="shared" si="6"/>
        <v>0</v>
      </c>
      <c r="O30" s="14">
        <v>20</v>
      </c>
      <c r="P30" s="17">
        <f t="shared" si="3"/>
        <v>0.59849053762950355</v>
      </c>
    </row>
    <row r="31" spans="1:16" s="14" customFormat="1" ht="19.5" customHeight="1" x14ac:dyDescent="0.35">
      <c r="A31" s="16">
        <v>21</v>
      </c>
      <c r="B31" s="17">
        <v>6.2212665030525471E-2</v>
      </c>
      <c r="C31" s="30">
        <f t="shared" si="0"/>
        <v>28</v>
      </c>
      <c r="E31" s="25">
        <f t="shared" si="4"/>
        <v>0.76845354924483678</v>
      </c>
      <c r="F31" s="28">
        <f>COUNTIF($B$11:$B$70,"&lt;"&amp;E31)-SUM(F$11:F30)</f>
        <v>4</v>
      </c>
      <c r="G31" s="29">
        <f t="shared" si="1"/>
        <v>0</v>
      </c>
      <c r="J31" s="25">
        <f t="shared" si="5"/>
        <v>0.76845354924483678</v>
      </c>
      <c r="K31" s="25">
        <f t="shared" si="2"/>
        <v>0.20587265457114889</v>
      </c>
      <c r="L31" s="25">
        <f t="shared" si="6"/>
        <v>0</v>
      </c>
      <c r="O31" s="14">
        <v>21</v>
      </c>
      <c r="P31" s="17">
        <f t="shared" si="3"/>
        <v>0.55251764106543089</v>
      </c>
    </row>
    <row r="32" spans="1:16" s="14" customFormat="1" ht="19.5" customHeight="1" x14ac:dyDescent="0.35">
      <c r="A32" s="16">
        <v>22</v>
      </c>
      <c r="B32" s="17">
        <v>-0.72396013408896343</v>
      </c>
      <c r="C32" s="30">
        <f t="shared" si="0"/>
        <v>38</v>
      </c>
      <c r="E32" s="25">
        <f t="shared" si="4"/>
        <v>1.0657039147297089</v>
      </c>
      <c r="F32" s="28">
        <f>COUNTIF($B$11:$B$70,"&lt;"&amp;E32)-SUM(F$11:F31)</f>
        <v>6</v>
      </c>
      <c r="G32" s="29">
        <f t="shared" si="1"/>
        <v>0</v>
      </c>
      <c r="J32" s="25">
        <f t="shared" si="5"/>
        <v>1.0657039147297089</v>
      </c>
      <c r="K32" s="25">
        <f t="shared" si="2"/>
        <v>0.18461291028294866</v>
      </c>
      <c r="L32" s="25">
        <f t="shared" si="6"/>
        <v>0</v>
      </c>
      <c r="O32" s="14">
        <v>22</v>
      </c>
      <c r="P32" s="17">
        <f t="shared" si="3"/>
        <v>0.55057863051197753</v>
      </c>
    </row>
    <row r="33" spans="1:16" s="14" customFormat="1" ht="19.5" customHeight="1" x14ac:dyDescent="0.35">
      <c r="A33" s="16">
        <v>23</v>
      </c>
      <c r="B33" s="17">
        <v>1.65865653968571</v>
      </c>
      <c r="C33" s="30">
        <f t="shared" si="0"/>
        <v>8</v>
      </c>
      <c r="E33" s="25">
        <f t="shared" si="4"/>
        <v>1.3629542802145811</v>
      </c>
      <c r="F33" s="28">
        <f>COUNTIF($B$11:$B$70,"&lt;"&amp;E33)-SUM(F$11:F32)</f>
        <v>4</v>
      </c>
      <c r="G33" s="29">
        <f t="shared" si="1"/>
        <v>0</v>
      </c>
      <c r="J33" s="25">
        <f t="shared" si="5"/>
        <v>1.3629542802145811</v>
      </c>
      <c r="K33" s="25">
        <f t="shared" si="2"/>
        <v>0.16047254164586872</v>
      </c>
      <c r="L33" s="25">
        <f t="shared" si="6"/>
        <v>0</v>
      </c>
      <c r="O33" s="14">
        <v>23</v>
      </c>
      <c r="P33" s="17">
        <f t="shared" si="3"/>
        <v>0.54692115776100447</v>
      </c>
    </row>
    <row r="34" spans="1:16" s="14" customFormat="1" ht="19.5" customHeight="1" x14ac:dyDescent="0.35">
      <c r="A34" s="16">
        <v>24</v>
      </c>
      <c r="B34" s="17">
        <v>-2.6175212402140158</v>
      </c>
      <c r="C34" s="30">
        <f t="shared" si="0"/>
        <v>57</v>
      </c>
      <c r="E34" s="25">
        <f t="shared" si="4"/>
        <v>1.6602046456994533</v>
      </c>
      <c r="F34" s="28">
        <f>COUNTIF($B$11:$B$70,"&lt;"&amp;E34)-SUM(F$11:F33)</f>
        <v>2</v>
      </c>
      <c r="G34" s="29">
        <f t="shared" si="1"/>
        <v>0</v>
      </c>
      <c r="J34" s="25">
        <f t="shared" si="5"/>
        <v>1.6602046456994533</v>
      </c>
      <c r="K34" s="25">
        <f t="shared" si="2"/>
        <v>0.13521181799975948</v>
      </c>
      <c r="L34" s="25">
        <f t="shared" si="6"/>
        <v>0</v>
      </c>
      <c r="O34" s="14">
        <v>24</v>
      </c>
      <c r="P34" s="17">
        <f t="shared" si="3"/>
        <v>0.38089454052951943</v>
      </c>
    </row>
    <row r="35" spans="1:16" s="14" customFormat="1" ht="19.5" customHeight="1" x14ac:dyDescent="0.35">
      <c r="A35" s="16">
        <v>25</v>
      </c>
      <c r="B35" s="17">
        <v>-3.7510852028801778</v>
      </c>
      <c r="C35" s="30">
        <f t="shared" si="0"/>
        <v>60</v>
      </c>
      <c r="E35" s="25">
        <f t="shared" si="4"/>
        <v>1.9574550111843254</v>
      </c>
      <c r="F35" s="28">
        <f>COUNTIF($B$11:$B$70,"&lt;"&amp;E35)-SUM(F$11:F34)</f>
        <v>0</v>
      </c>
      <c r="G35" s="29">
        <f t="shared" si="1"/>
        <v>0</v>
      </c>
      <c r="J35" s="25">
        <f t="shared" si="5"/>
        <v>1.9574550111843254</v>
      </c>
      <c r="K35" s="25">
        <f t="shared" si="2"/>
        <v>0.11043426153636779</v>
      </c>
      <c r="L35" s="25">
        <f t="shared" si="6"/>
        <v>0</v>
      </c>
      <c r="O35" s="14">
        <v>25</v>
      </c>
      <c r="P35" s="17">
        <f t="shared" si="3"/>
        <v>0.29767087748440169</v>
      </c>
    </row>
    <row r="36" spans="1:16" s="14" customFormat="1" ht="19.5" customHeight="1" x14ac:dyDescent="0.35">
      <c r="A36" s="16">
        <v>26</v>
      </c>
      <c r="B36" s="17">
        <v>-1.5219530427619032</v>
      </c>
      <c r="C36" s="30">
        <f t="shared" si="0"/>
        <v>49</v>
      </c>
      <c r="E36" s="25">
        <f t="shared" si="4"/>
        <v>2.2547053766691976</v>
      </c>
      <c r="F36" s="28">
        <f>COUNTIF($B$11:$B$70,"&lt;"&amp;E36)-SUM(F$11:F35)</f>
        <v>2</v>
      </c>
      <c r="G36" s="29">
        <f t="shared" si="1"/>
        <v>0</v>
      </c>
      <c r="J36" s="25">
        <f t="shared" si="5"/>
        <v>2.2547053766691976</v>
      </c>
      <c r="K36" s="25">
        <f t="shared" si="2"/>
        <v>8.7431568391740516E-2</v>
      </c>
      <c r="L36" s="25">
        <f t="shared" si="6"/>
        <v>0</v>
      </c>
      <c r="O36" s="14">
        <v>26</v>
      </c>
      <c r="P36" s="17">
        <f t="shared" si="3"/>
        <v>0.19529366380557356</v>
      </c>
    </row>
    <row r="37" spans="1:16" s="14" customFormat="1" ht="19.5" customHeight="1" x14ac:dyDescent="0.35">
      <c r="A37" s="16">
        <v>27</v>
      </c>
      <c r="B37" s="17">
        <v>2.8126175985148771</v>
      </c>
      <c r="C37" s="30">
        <f t="shared" si="0"/>
        <v>4</v>
      </c>
      <c r="E37" s="25">
        <f t="shared" si="4"/>
        <v>2.5519557421540697</v>
      </c>
      <c r="F37" s="28">
        <f>COUNTIF($B$11:$B$70,"&lt;"&amp;E37)-SUM(F$11:F36)</f>
        <v>0</v>
      </c>
      <c r="G37" s="29">
        <f t="shared" si="1"/>
        <v>0</v>
      </c>
      <c r="J37" s="25">
        <f t="shared" si="5"/>
        <v>2.5519557421540697</v>
      </c>
      <c r="K37" s="25">
        <f t="shared" si="2"/>
        <v>6.7097751216707691E-2</v>
      </c>
      <c r="L37" s="25">
        <f t="shared" si="6"/>
        <v>0</v>
      </c>
      <c r="O37" s="14">
        <v>27</v>
      </c>
      <c r="P37" s="17">
        <f t="shared" si="3"/>
        <v>0.18500889599100123</v>
      </c>
    </row>
    <row r="38" spans="1:16" s="14" customFormat="1" ht="19.5" customHeight="1" x14ac:dyDescent="0.35">
      <c r="A38" s="16">
        <v>28</v>
      </c>
      <c r="B38" s="17">
        <v>-0.52423174935820605</v>
      </c>
      <c r="C38" s="30">
        <f t="shared" si="0"/>
        <v>35</v>
      </c>
      <c r="E38" s="25">
        <f t="shared" si="4"/>
        <v>2.8492061076389419</v>
      </c>
      <c r="F38" s="28">
        <f>COUNTIF($B$11:$B$70,"&lt;"&amp;E38)-SUM(F$11:F37)</f>
        <v>2</v>
      </c>
      <c r="G38" s="29">
        <f t="shared" si="1"/>
        <v>0</v>
      </c>
      <c r="J38" s="25">
        <f t="shared" si="5"/>
        <v>2.8492061076389419</v>
      </c>
      <c r="K38" s="25">
        <f t="shared" si="2"/>
        <v>4.9914062597795517E-2</v>
      </c>
      <c r="L38" s="25">
        <f t="shared" si="6"/>
        <v>0</v>
      </c>
      <c r="O38" s="14">
        <v>28</v>
      </c>
      <c r="P38" s="17">
        <f t="shared" si="3"/>
        <v>6.2212665030525471E-2</v>
      </c>
    </row>
    <row r="39" spans="1:16" s="14" customFormat="1" ht="19.5" customHeight="1" x14ac:dyDescent="0.35">
      <c r="A39" s="16">
        <v>29</v>
      </c>
      <c r="B39" s="17">
        <v>2.5942010417448813</v>
      </c>
      <c r="C39" s="30">
        <f t="shared" si="0"/>
        <v>5</v>
      </c>
      <c r="E39" s="25">
        <f t="shared" si="4"/>
        <v>3.146456473123814</v>
      </c>
      <c r="F39" s="28">
        <f>COUNTIF($B$11:$B$70,"&lt;"&amp;E39)-SUM(F$11:F38)</f>
        <v>1</v>
      </c>
      <c r="G39" s="29">
        <f t="shared" si="1"/>
        <v>0</v>
      </c>
      <c r="J39" s="25">
        <f t="shared" si="5"/>
        <v>3.146456473123814</v>
      </c>
      <c r="K39" s="25">
        <f t="shared" si="2"/>
        <v>3.5992592711273405E-2</v>
      </c>
      <c r="L39" s="25">
        <f t="shared" si="6"/>
        <v>0</v>
      </c>
      <c r="O39" s="14">
        <v>29</v>
      </c>
      <c r="P39" s="17">
        <f t="shared" si="3"/>
        <v>3.1127562849819768E-2</v>
      </c>
    </row>
    <row r="40" spans="1:16" s="14" customFormat="1" ht="19.5" customHeight="1" x14ac:dyDescent="0.35">
      <c r="A40" s="16">
        <v>30</v>
      </c>
      <c r="B40" s="17">
        <v>-2.4088299362497012</v>
      </c>
      <c r="C40" s="30">
        <f t="shared" si="0"/>
        <v>55</v>
      </c>
      <c r="E40" s="25">
        <f t="shared" si="4"/>
        <v>3.4437068386086862</v>
      </c>
      <c r="F40" s="28">
        <f>COUNTIF($B$11:$B$70,"&lt;"&amp;E40)-SUM(F$11:F39)</f>
        <v>1</v>
      </c>
      <c r="G40" s="29">
        <f t="shared" si="1"/>
        <v>0</v>
      </c>
      <c r="J40" s="25">
        <f t="shared" si="5"/>
        <v>3.4437068386086862</v>
      </c>
      <c r="K40" s="25">
        <f t="shared" si="2"/>
        <v>2.5158144255351251E-2</v>
      </c>
      <c r="L40" s="25">
        <f t="shared" si="6"/>
        <v>0</v>
      </c>
      <c r="O40" s="14">
        <v>30</v>
      </c>
      <c r="P40" s="17">
        <f t="shared" si="3"/>
        <v>-0.15608667247386521</v>
      </c>
    </row>
    <row r="41" spans="1:16" s="14" customFormat="1" ht="19.5" customHeight="1" x14ac:dyDescent="0.35">
      <c r="A41" s="16">
        <v>31</v>
      </c>
      <c r="B41" s="17">
        <v>2.9576955176613406</v>
      </c>
      <c r="C41" s="30">
        <f t="shared" si="0"/>
        <v>3</v>
      </c>
      <c r="E41" s="25">
        <f t="shared" si="4"/>
        <v>3.7409572040935584</v>
      </c>
      <c r="F41" s="28">
        <f>COUNTIF($B$11:$B$70,"&lt;"&amp;E41)-SUM(F$11:F40)</f>
        <v>1</v>
      </c>
      <c r="G41" s="29">
        <f t="shared" si="1"/>
        <v>0</v>
      </c>
      <c r="J41" s="25">
        <f t="shared" si="5"/>
        <v>3.7409572040935584</v>
      </c>
      <c r="K41" s="25">
        <f t="shared" si="2"/>
        <v>1.7045876295480395E-2</v>
      </c>
      <c r="L41" s="25">
        <f t="shared" si="6"/>
        <v>0</v>
      </c>
      <c r="O41" s="14">
        <v>31</v>
      </c>
      <c r="P41" s="17">
        <f t="shared" si="3"/>
        <v>-0.1757284497190037</v>
      </c>
    </row>
    <row r="42" spans="1:16" s="14" customFormat="1" ht="19.5" customHeight="1" x14ac:dyDescent="0.35">
      <c r="A42" s="16">
        <v>32</v>
      </c>
      <c r="B42" s="17">
        <v>0.54692115776100447</v>
      </c>
      <c r="C42" s="30">
        <f t="shared" si="0"/>
        <v>23</v>
      </c>
      <c r="E42" s="25">
        <f t="shared" si="4"/>
        <v>4.0382075695784305</v>
      </c>
      <c r="F42" s="28">
        <f>COUNTIF($B$11:$B$70,"&lt;"&amp;E42)-SUM(F$11:F41)</f>
        <v>0</v>
      </c>
      <c r="G42" s="29">
        <f t="shared" si="1"/>
        <v>0</v>
      </c>
      <c r="J42" s="25">
        <f t="shared" si="5"/>
        <v>4.0382075695784305</v>
      </c>
      <c r="K42" s="25">
        <f t="shared" si="2"/>
        <v>1.1195289282649127E-2</v>
      </c>
      <c r="L42" s="25">
        <f t="shared" si="6"/>
        <v>0</v>
      </c>
      <c r="O42" s="14">
        <v>32</v>
      </c>
      <c r="P42" s="17">
        <f t="shared" si="3"/>
        <v>-0.28269958831873554</v>
      </c>
    </row>
    <row r="43" spans="1:16" s="14" customFormat="1" ht="19.5" customHeight="1" x14ac:dyDescent="0.35">
      <c r="A43" s="16">
        <v>33</v>
      </c>
      <c r="B43" s="17">
        <v>-1.2280652613657628</v>
      </c>
      <c r="C43" s="30">
        <f t="shared" si="0"/>
        <v>45</v>
      </c>
      <c r="E43" s="25">
        <f t="shared" si="4"/>
        <v>4.3354579350633031</v>
      </c>
      <c r="F43" s="28">
        <f>COUNTIF($B$11:$B$70,"&lt;"&amp;E43)-SUM(F$11:F42)</f>
        <v>0</v>
      </c>
      <c r="G43" s="29">
        <f t="shared" si="1"/>
        <v>0</v>
      </c>
      <c r="J43" s="25">
        <f t="shared" si="5"/>
        <v>4.3354579350633031</v>
      </c>
      <c r="K43" s="25">
        <f t="shared" si="2"/>
        <v>7.1273250564506301E-3</v>
      </c>
      <c r="L43" s="25">
        <f t="shared" si="6"/>
        <v>0</v>
      </c>
      <c r="O43" s="14">
        <v>33</v>
      </c>
      <c r="P43" s="17">
        <f t="shared" si="3"/>
        <v>-0.38792561147794613</v>
      </c>
    </row>
    <row r="44" spans="1:16" s="14" customFormat="1" ht="19.5" customHeight="1" x14ac:dyDescent="0.35">
      <c r="A44" s="16">
        <v>34</v>
      </c>
      <c r="B44" s="17">
        <v>-0.72523719399045783</v>
      </c>
      <c r="C44" s="30">
        <f t="shared" si="0"/>
        <v>39</v>
      </c>
      <c r="E44" s="25">
        <f t="shared" si="4"/>
        <v>4.6327083005481757</v>
      </c>
      <c r="F44" s="28">
        <f>COUNTIF($B$11:$B$70,"&lt;"&amp;E44)-SUM(F$11:F43)</f>
        <v>0</v>
      </c>
      <c r="G44" s="29">
        <f t="shared" si="1"/>
        <v>0</v>
      </c>
      <c r="J44" s="25">
        <f t="shared" si="5"/>
        <v>4.6327083005481757</v>
      </c>
      <c r="K44" s="25">
        <f t="shared" si="2"/>
        <v>4.3983832696992764E-3</v>
      </c>
      <c r="L44" s="25">
        <f t="shared" si="6"/>
        <v>0</v>
      </c>
      <c r="O44" s="14">
        <v>34</v>
      </c>
      <c r="P44" s="17">
        <f t="shared" si="3"/>
        <v>-0.39619306898106554</v>
      </c>
    </row>
    <row r="45" spans="1:16" s="14" customFormat="1" ht="19.5" customHeight="1" x14ac:dyDescent="0.35">
      <c r="A45" s="16">
        <v>35</v>
      </c>
      <c r="B45" s="17">
        <v>-0.39619306898106554</v>
      </c>
      <c r="C45" s="30">
        <f t="shared" si="0"/>
        <v>34</v>
      </c>
      <c r="E45" s="25">
        <f>B2+(3*B3)</f>
        <v>4.9299586660330448</v>
      </c>
      <c r="F45" s="28"/>
      <c r="G45" s="29">
        <f t="shared" si="1"/>
        <v>0</v>
      </c>
      <c r="J45" s="25">
        <f>B2+(3*B3)</f>
        <v>4.9299586660330448</v>
      </c>
      <c r="K45" s="25">
        <f t="shared" si="2"/>
        <v>2.6310847253244399E-3</v>
      </c>
      <c r="L45" s="25">
        <f t="shared" si="6"/>
        <v>0</v>
      </c>
      <c r="O45" s="14">
        <v>35</v>
      </c>
      <c r="P45" s="17">
        <f t="shared" si="3"/>
        <v>-0.52423174935820605</v>
      </c>
    </row>
    <row r="46" spans="1:16" ht="19.5" customHeight="1" x14ac:dyDescent="0.35">
      <c r="A46" s="16">
        <v>36</v>
      </c>
      <c r="B46" s="17">
        <v>-0.58212682970623097</v>
      </c>
      <c r="C46" s="30">
        <f t="shared" si="0"/>
        <v>37</v>
      </c>
      <c r="D46" s="14"/>
      <c r="O46" s="14">
        <v>36</v>
      </c>
      <c r="P46" s="17">
        <f t="shared" si="3"/>
        <v>-0.57005265768458324</v>
      </c>
    </row>
    <row r="47" spans="1:16" ht="19.5" customHeight="1" x14ac:dyDescent="0.35">
      <c r="A47" s="16">
        <v>37</v>
      </c>
      <c r="B47" s="17">
        <v>-2.3814615369661118</v>
      </c>
      <c r="C47" s="30">
        <f t="shared" si="0"/>
        <v>54</v>
      </c>
      <c r="D47" s="14"/>
      <c r="O47" s="14">
        <v>37</v>
      </c>
      <c r="P47" s="17">
        <f t="shared" si="3"/>
        <v>-0.58212682970623097</v>
      </c>
    </row>
    <row r="48" spans="1:16" ht="19.5" customHeight="1" x14ac:dyDescent="0.35">
      <c r="A48" s="16">
        <v>38</v>
      </c>
      <c r="B48" s="17">
        <v>-1.3222119008064914</v>
      </c>
      <c r="C48" s="30">
        <f t="shared" si="0"/>
        <v>47</v>
      </c>
      <c r="D48" s="14"/>
      <c r="O48" s="14">
        <v>38</v>
      </c>
      <c r="P48" s="17">
        <f t="shared" si="3"/>
        <v>-0.72396013408896343</v>
      </c>
    </row>
    <row r="49" spans="1:16" ht="19.5" customHeight="1" x14ac:dyDescent="0.35">
      <c r="A49" s="16">
        <v>39</v>
      </c>
      <c r="B49" s="17">
        <v>3.6058675096936943</v>
      </c>
      <c r="C49" s="30">
        <f t="shared" si="0"/>
        <v>1</v>
      </c>
      <c r="D49" s="14"/>
      <c r="O49" s="14">
        <v>39</v>
      </c>
      <c r="P49" s="17">
        <f t="shared" si="3"/>
        <v>-0.72523719399045783</v>
      </c>
    </row>
    <row r="50" spans="1:16" ht="19.5" customHeight="1" x14ac:dyDescent="0.35">
      <c r="A50" s="16">
        <v>40</v>
      </c>
      <c r="B50" s="17">
        <v>3.4108103352938235</v>
      </c>
      <c r="C50" s="30">
        <f t="shared" si="0"/>
        <v>2</v>
      </c>
      <c r="D50" s="14"/>
      <c r="O50" s="14">
        <v>40</v>
      </c>
      <c r="P50" s="17">
        <f t="shared" si="3"/>
        <v>-0.75924389532928682</v>
      </c>
    </row>
    <row r="51" spans="1:16" ht="19.5" customHeight="1" x14ac:dyDescent="0.35">
      <c r="A51" s="16">
        <v>41</v>
      </c>
      <c r="B51" s="17">
        <v>-0.1757284497190037</v>
      </c>
      <c r="C51" s="30">
        <f t="shared" si="0"/>
        <v>31</v>
      </c>
      <c r="D51" s="14"/>
      <c r="O51" s="14">
        <v>41</v>
      </c>
      <c r="P51" s="17">
        <f t="shared" si="3"/>
        <v>-1.0096313199052798</v>
      </c>
    </row>
    <row r="52" spans="1:16" ht="19.5" customHeight="1" x14ac:dyDescent="0.35">
      <c r="A52" s="16">
        <v>42</v>
      </c>
      <c r="B52" s="17">
        <v>-1.3544927682674235</v>
      </c>
      <c r="C52" s="30">
        <f t="shared" si="0"/>
        <v>48</v>
      </c>
      <c r="D52" s="14"/>
      <c r="O52" s="14">
        <v>42</v>
      </c>
      <c r="P52" s="17">
        <f t="shared" si="3"/>
        <v>-1.0710047739648121</v>
      </c>
    </row>
    <row r="53" spans="1:16" ht="19.5" customHeight="1" x14ac:dyDescent="0.35">
      <c r="A53" s="16">
        <v>43</v>
      </c>
      <c r="B53" s="17">
        <v>0.59849053762950355</v>
      </c>
      <c r="C53" s="30">
        <f t="shared" si="0"/>
        <v>20</v>
      </c>
      <c r="D53" s="14"/>
      <c r="O53" s="14">
        <v>43</v>
      </c>
      <c r="P53" s="17">
        <f t="shared" si="3"/>
        <v>-1.1228896488291951</v>
      </c>
    </row>
    <row r="54" spans="1:16" ht="19.5" customHeight="1" x14ac:dyDescent="0.35">
      <c r="A54" s="16">
        <v>44</v>
      </c>
      <c r="B54" s="17">
        <v>-2.3629127828662222</v>
      </c>
      <c r="C54" s="30">
        <f t="shared" si="0"/>
        <v>53</v>
      </c>
      <c r="D54" s="14"/>
      <c r="O54" s="14">
        <v>44</v>
      </c>
      <c r="P54" s="17">
        <f t="shared" si="3"/>
        <v>-1.2014615583012089</v>
      </c>
    </row>
    <row r="55" spans="1:16" ht="19.5" customHeight="1" x14ac:dyDescent="0.35">
      <c r="A55" s="16">
        <v>45</v>
      </c>
      <c r="B55" s="17">
        <v>1.4948289748290211</v>
      </c>
      <c r="C55" s="30">
        <f t="shared" si="0"/>
        <v>9</v>
      </c>
      <c r="D55" s="14"/>
      <c r="O55" s="14">
        <v>45</v>
      </c>
      <c r="P55" s="17">
        <f t="shared" si="3"/>
        <v>-1.2280652613657628</v>
      </c>
    </row>
    <row r="56" spans="1:16" ht="19.5" customHeight="1" x14ac:dyDescent="0.35">
      <c r="A56" s="16">
        <v>46</v>
      </c>
      <c r="B56" s="17">
        <v>1.0307957423734804</v>
      </c>
      <c r="C56" s="30">
        <f t="shared" si="0"/>
        <v>14</v>
      </c>
      <c r="D56" s="14"/>
      <c r="O56" s="14">
        <v>46</v>
      </c>
      <c r="P56" s="17">
        <f t="shared" si="3"/>
        <v>-1.2653570914514911</v>
      </c>
    </row>
    <row r="57" spans="1:16" ht="19.5" customHeight="1" x14ac:dyDescent="0.35">
      <c r="A57" s="16">
        <v>47</v>
      </c>
      <c r="B57" s="17">
        <v>2.2345287130690394</v>
      </c>
      <c r="C57" s="30">
        <f t="shared" si="0"/>
        <v>7</v>
      </c>
      <c r="D57" s="14"/>
      <c r="O57" s="14">
        <v>47</v>
      </c>
      <c r="P57" s="17">
        <f t="shared" si="3"/>
        <v>-1.3222119008064914</v>
      </c>
    </row>
    <row r="58" spans="1:16" ht="19.5" customHeight="1" x14ac:dyDescent="0.35">
      <c r="A58" s="16">
        <v>48</v>
      </c>
      <c r="B58" s="17">
        <v>1.3087645092837219</v>
      </c>
      <c r="C58" s="30">
        <f t="shared" si="0"/>
        <v>11</v>
      </c>
      <c r="D58" s="14"/>
      <c r="O58" s="14">
        <v>48</v>
      </c>
      <c r="P58" s="17">
        <f t="shared" si="3"/>
        <v>-1.3544927682674235</v>
      </c>
    </row>
    <row r="59" spans="1:16" ht="19.5" customHeight="1" x14ac:dyDescent="0.35">
      <c r="A59" s="16">
        <v>49</v>
      </c>
      <c r="B59" s="17">
        <v>1.2236529524783046</v>
      </c>
      <c r="C59" s="30">
        <f t="shared" si="0"/>
        <v>13</v>
      </c>
      <c r="D59" s="14"/>
      <c r="O59" s="14">
        <v>49</v>
      </c>
      <c r="P59" s="17">
        <f t="shared" si="3"/>
        <v>-1.5219530427619032</v>
      </c>
    </row>
    <row r="60" spans="1:16" ht="19.5" customHeight="1" x14ac:dyDescent="0.35">
      <c r="A60" s="16">
        <v>50</v>
      </c>
      <c r="B60" s="17">
        <v>-2.4799584852249756</v>
      </c>
      <c r="C60" s="30">
        <f t="shared" si="0"/>
        <v>56</v>
      </c>
      <c r="D60" s="14"/>
      <c r="O60" s="14">
        <v>50</v>
      </c>
      <c r="P60" s="17">
        <f t="shared" si="3"/>
        <v>-1.6866424362018573</v>
      </c>
    </row>
    <row r="61" spans="1:16" ht="19.5" customHeight="1" x14ac:dyDescent="0.35">
      <c r="A61" s="16">
        <v>51</v>
      </c>
      <c r="B61" s="17">
        <v>0.8206088229530728</v>
      </c>
      <c r="C61" s="30">
        <f t="shared" si="0"/>
        <v>19</v>
      </c>
      <c r="D61" s="14"/>
      <c r="O61" s="14">
        <v>51</v>
      </c>
      <c r="P61" s="17">
        <f t="shared" si="3"/>
        <v>-1.8864479239942833</v>
      </c>
    </row>
    <row r="62" spans="1:16" ht="19.5" customHeight="1" x14ac:dyDescent="0.35">
      <c r="A62" s="16">
        <v>52</v>
      </c>
      <c r="B62" s="17">
        <v>-1.6866424362018573</v>
      </c>
      <c r="C62" s="30">
        <f t="shared" si="0"/>
        <v>50</v>
      </c>
      <c r="D62" s="14"/>
      <c r="N62" s="31"/>
      <c r="O62" s="14">
        <v>52</v>
      </c>
      <c r="P62" s="17">
        <f t="shared" si="3"/>
        <v>-2.2862166673725981</v>
      </c>
    </row>
    <row r="63" spans="1:16" ht="19.5" customHeight="1" x14ac:dyDescent="0.35">
      <c r="A63" s="16">
        <v>53</v>
      </c>
      <c r="B63" s="17">
        <v>0.55057863051197753</v>
      </c>
      <c r="C63" s="30">
        <f t="shared" si="0"/>
        <v>22</v>
      </c>
      <c r="D63" s="14"/>
      <c r="O63" s="14">
        <v>53</v>
      </c>
      <c r="P63" s="17">
        <f t="shared" si="3"/>
        <v>-2.3629127828662222</v>
      </c>
    </row>
    <row r="64" spans="1:16" ht="19.5" customHeight="1" x14ac:dyDescent="0.35">
      <c r="A64" s="16">
        <v>54</v>
      </c>
      <c r="B64" s="17">
        <v>2.2445488625739252</v>
      </c>
      <c r="C64" s="30">
        <f t="shared" si="0"/>
        <v>6</v>
      </c>
      <c r="D64" s="14"/>
      <c r="O64" s="14">
        <v>54</v>
      </c>
      <c r="P64" s="17">
        <f t="shared" si="3"/>
        <v>-2.3814615369661118</v>
      </c>
    </row>
    <row r="65" spans="1:16" ht="19.5" customHeight="1" x14ac:dyDescent="0.35">
      <c r="A65" s="16">
        <v>55</v>
      </c>
      <c r="B65" s="17">
        <v>0.19529366380557356</v>
      </c>
      <c r="C65" s="30">
        <f t="shared" si="0"/>
        <v>26</v>
      </c>
      <c r="D65" s="14"/>
      <c r="O65" s="14">
        <v>55</v>
      </c>
      <c r="P65" s="17">
        <f t="shared" si="3"/>
        <v>-2.4088299362497012</v>
      </c>
    </row>
    <row r="66" spans="1:16" ht="19.5" customHeight="1" x14ac:dyDescent="0.35">
      <c r="A66" s="16">
        <v>56</v>
      </c>
      <c r="B66" s="17">
        <v>0.55251764106543089</v>
      </c>
      <c r="C66" s="30">
        <f t="shared" si="0"/>
        <v>21</v>
      </c>
      <c r="D66" s="14"/>
      <c r="O66" s="14">
        <v>56</v>
      </c>
      <c r="P66" s="17">
        <f t="shared" si="3"/>
        <v>-2.4799584852249756</v>
      </c>
    </row>
    <row r="67" spans="1:16" ht="19.5" customHeight="1" x14ac:dyDescent="0.35">
      <c r="A67" s="16">
        <v>57</v>
      </c>
      <c r="B67" s="17">
        <v>-1.0710047739648121</v>
      </c>
      <c r="C67" s="30">
        <f t="shared" si="0"/>
        <v>42</v>
      </c>
      <c r="D67" s="14"/>
      <c r="O67" s="14">
        <v>57</v>
      </c>
      <c r="P67" s="17">
        <f t="shared" si="3"/>
        <v>-2.6175212402140158</v>
      </c>
    </row>
    <row r="68" spans="1:16" ht="19.5" customHeight="1" x14ac:dyDescent="0.35">
      <c r="A68" s="16">
        <v>58</v>
      </c>
      <c r="B68" s="17">
        <v>1.2934081144514664</v>
      </c>
      <c r="C68" s="30">
        <f t="shared" si="0"/>
        <v>12</v>
      </c>
      <c r="D68" s="14"/>
      <c r="O68" s="14">
        <v>58</v>
      </c>
      <c r="P68" s="17">
        <f t="shared" si="3"/>
        <v>-3.0054746669558874</v>
      </c>
    </row>
    <row r="69" spans="1:16" ht="19.5" customHeight="1" x14ac:dyDescent="0.35">
      <c r="A69" s="16">
        <v>59</v>
      </c>
      <c r="B69" s="17">
        <v>-0.38792561147794613</v>
      </c>
      <c r="C69" s="30">
        <f t="shared" si="0"/>
        <v>33</v>
      </c>
      <c r="D69" s="14"/>
      <c r="O69" s="14">
        <v>59</v>
      </c>
      <c r="P69" s="17">
        <f t="shared" si="3"/>
        <v>-3.2081456896948302</v>
      </c>
    </row>
    <row r="70" spans="1:16" ht="19.5" customHeight="1" x14ac:dyDescent="0.35">
      <c r="A70" s="16">
        <v>60</v>
      </c>
      <c r="B70" s="17">
        <v>1.0263927903990666</v>
      </c>
      <c r="C70" s="30">
        <f t="shared" si="0"/>
        <v>15</v>
      </c>
      <c r="D70" s="14"/>
      <c r="O70" s="14">
        <v>60</v>
      </c>
      <c r="P70" s="17">
        <f t="shared" si="3"/>
        <v>-3.7510852028801778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CDD5A-8C41-44D5-9B41-5295231BDF1E}">
  <sheetPr codeName="Sheet2"/>
  <dimension ref="A1:L70"/>
  <sheetViews>
    <sheetView tabSelected="1" zoomScaleNormal="100" workbookViewId="0">
      <selection activeCell="F6" sqref="F6"/>
    </sheetView>
  </sheetViews>
  <sheetFormatPr defaultColWidth="9.1796875" defaultRowHeight="19.5" customHeight="1" x14ac:dyDescent="0.35"/>
  <cols>
    <col min="1" max="1" width="25.54296875" style="1" customWidth="1"/>
    <col min="2" max="3" width="10.54296875" style="1" customWidth="1"/>
    <col min="4" max="4" width="14.08984375" style="1" customWidth="1"/>
    <col min="5" max="5" width="13" style="1" customWidth="1"/>
    <col min="6" max="6" width="10.54296875" style="1" customWidth="1"/>
    <col min="7" max="16384" width="9.1796875" style="1"/>
  </cols>
  <sheetData>
    <row r="1" spans="1:12" ht="19.5" customHeight="1" thickBot="1" x14ac:dyDescent="0.4">
      <c r="A1" s="32" t="s">
        <v>21</v>
      </c>
      <c r="B1" s="32"/>
      <c r="D1" s="32" t="s">
        <v>22</v>
      </c>
      <c r="E1" s="32"/>
    </row>
    <row r="2" spans="1:12" ht="19.5" customHeight="1" thickBot="1" x14ac:dyDescent="0.4">
      <c r="A2" s="2" t="s">
        <v>0</v>
      </c>
      <c r="B2" s="3">
        <f>AVERAGE(B11:B70)</f>
        <v>-0.12329754720978145</v>
      </c>
      <c r="L2" s="27">
        <v>0</v>
      </c>
    </row>
    <row r="3" spans="1:12" ht="19.5" customHeight="1" thickBot="1" x14ac:dyDescent="0.4">
      <c r="A3" s="2" t="s">
        <v>1</v>
      </c>
      <c r="B3" s="3">
        <f>_xlfn.STDEV.S(B11:B70)</f>
        <v>1.6844187377476088</v>
      </c>
    </row>
    <row r="4" spans="1:12" ht="19.5" customHeight="1" thickBot="1" x14ac:dyDescent="0.4">
      <c r="A4" s="2" t="s">
        <v>2</v>
      </c>
      <c r="B4" s="5">
        <v>0.95</v>
      </c>
    </row>
    <row r="5" spans="1:12" ht="19.5" customHeight="1" thickBot="1" x14ac:dyDescent="0.4">
      <c r="A5" s="2" t="s">
        <v>3</v>
      </c>
      <c r="B5" s="3">
        <f>_xlfn.NORM.S.INV(B4)</f>
        <v>1.6448536269514715</v>
      </c>
      <c r="D5" s="2" t="s">
        <v>20</v>
      </c>
      <c r="E5" s="7">
        <f>MAX(A11:A500)*B4</f>
        <v>57</v>
      </c>
    </row>
    <row r="6" spans="1:12" ht="19.5" customHeight="1" thickBot="1" x14ac:dyDescent="0.4">
      <c r="A6" s="2" t="s">
        <v>11</v>
      </c>
      <c r="B6" s="3">
        <f>B2-(B5*B3)</f>
        <v>-2.8939198172989551</v>
      </c>
      <c r="D6" s="2" t="s">
        <v>11</v>
      </c>
      <c r="E6" s="3">
        <f>_xlfn.PERCENTILE.INC(B11:B70,1-B4)</f>
        <v>-2.636918911551108</v>
      </c>
      <c r="F6" s="1" t="s">
        <v>23</v>
      </c>
    </row>
    <row r="7" spans="1:12" ht="19.5" customHeight="1" thickBot="1" x14ac:dyDescent="0.4">
      <c r="A7" s="18" t="s">
        <v>12</v>
      </c>
      <c r="B7" s="19">
        <f>(1/(1-B4))*(1/SQRT(2*PI())*EXP(-0.5*B5^2))</f>
        <v>2.0627128075074284</v>
      </c>
      <c r="D7" s="18"/>
      <c r="E7" s="19"/>
    </row>
    <row r="8" spans="1:12" ht="19.5" customHeight="1" thickBot="1" x14ac:dyDescent="0.4">
      <c r="A8" s="18" t="s">
        <v>13</v>
      </c>
      <c r="B8" s="19">
        <f>B2-(B7*B3)</f>
        <v>-3.5977696507672703</v>
      </c>
      <c r="D8" s="18" t="s">
        <v>13</v>
      </c>
      <c r="E8" s="19">
        <f>AVERAGEIF(B11:B70,"&lt;="&amp;E6)</f>
        <v>-3.3215685198436318</v>
      </c>
      <c r="F8" s="14"/>
    </row>
    <row r="9" spans="1:12" s="14" customFormat="1" ht="19.5" customHeight="1" x14ac:dyDescent="0.35">
      <c r="A9" s="6"/>
      <c r="B9" s="6"/>
    </row>
    <row r="10" spans="1:12" s="14" customFormat="1" ht="35" customHeight="1" thickBot="1" x14ac:dyDescent="0.4">
      <c r="A10" s="12" t="s">
        <v>7</v>
      </c>
      <c r="B10" s="13" t="s">
        <v>8</v>
      </c>
      <c r="D10" s="20"/>
      <c r="E10" s="20"/>
      <c r="H10" s="16"/>
      <c r="I10" s="16" t="s">
        <v>10</v>
      </c>
    </row>
    <row r="11" spans="1:12" s="14" customFormat="1" ht="19.5" customHeight="1" thickTop="1" x14ac:dyDescent="0.35">
      <c r="A11" s="16">
        <v>1</v>
      </c>
      <c r="B11" s="17">
        <v>0.18500889599100123</v>
      </c>
      <c r="D11" s="20"/>
      <c r="E11" s="20"/>
      <c r="H11" s="14">
        <v>1</v>
      </c>
      <c r="I11" s="21">
        <v>-0.3019</v>
      </c>
    </row>
    <row r="12" spans="1:12" s="14" customFormat="1" ht="19.5" customHeight="1" x14ac:dyDescent="0.35">
      <c r="A12" s="16">
        <v>2</v>
      </c>
      <c r="B12" s="17">
        <v>-1.0096313199052798</v>
      </c>
      <c r="D12" s="20"/>
      <c r="E12" s="20"/>
      <c r="H12" s="14">
        <v>2</v>
      </c>
      <c r="I12" s="22">
        <v>-0.17369999999999999</v>
      </c>
      <c r="J12" s="14" t="s">
        <v>14</v>
      </c>
    </row>
    <row r="13" spans="1:12" s="14" customFormat="1" ht="19.5" customHeight="1" thickBot="1" x14ac:dyDescent="0.4">
      <c r="A13" s="16">
        <v>3</v>
      </c>
      <c r="B13" s="17">
        <v>0.38089454052951943</v>
      </c>
      <c r="D13" s="20"/>
      <c r="E13" s="20"/>
      <c r="H13" s="23">
        <v>3</v>
      </c>
      <c r="I13" s="24">
        <v>-0.10269999999999999</v>
      </c>
    </row>
    <row r="14" spans="1:12" s="14" customFormat="1" ht="19.5" customHeight="1" thickTop="1" x14ac:dyDescent="0.35">
      <c r="A14" s="16">
        <v>4</v>
      </c>
      <c r="B14" s="17">
        <v>-0.28269958831873554</v>
      </c>
      <c r="D14" s="20"/>
      <c r="E14" s="20"/>
      <c r="H14" s="14">
        <v>4</v>
      </c>
      <c r="I14" s="25">
        <v>-0.10009999999999999</v>
      </c>
    </row>
    <row r="15" spans="1:12" s="14" customFormat="1" ht="19.5" customHeight="1" x14ac:dyDescent="0.35">
      <c r="A15" s="16">
        <v>5</v>
      </c>
      <c r="B15" s="17">
        <v>-1.1228896488291951</v>
      </c>
      <c r="H15" s="14">
        <v>5</v>
      </c>
      <c r="I15" s="26">
        <v>-9.11E-2</v>
      </c>
    </row>
    <row r="16" spans="1:12" s="14" customFormat="1" ht="19.5" customHeight="1" x14ac:dyDescent="0.35">
      <c r="A16" s="16">
        <v>6</v>
      </c>
      <c r="B16" s="17">
        <v>-2.2862166673725981</v>
      </c>
      <c r="H16" s="14">
        <v>6</v>
      </c>
      <c r="I16" s="26">
        <v>-8.2299999999999998E-2</v>
      </c>
    </row>
    <row r="17" spans="1:9" s="14" customFormat="1" ht="19.5" customHeight="1" x14ac:dyDescent="0.35">
      <c r="A17" s="16">
        <v>7</v>
      </c>
      <c r="B17" s="17">
        <v>-1.2653570914514911</v>
      </c>
      <c r="H17" s="14">
        <v>7</v>
      </c>
      <c r="I17" s="25">
        <v>-7.5899999999999995E-2</v>
      </c>
    </row>
    <row r="18" spans="1:9" s="14" customFormat="1" ht="19.5" customHeight="1" x14ac:dyDescent="0.35">
      <c r="A18" s="16">
        <v>8</v>
      </c>
      <c r="B18" s="17">
        <v>0.84046100400529955</v>
      </c>
      <c r="H18" s="14">
        <v>8</v>
      </c>
      <c r="I18" s="25">
        <v>-7.3200000000000001E-2</v>
      </c>
    </row>
    <row r="19" spans="1:9" s="14" customFormat="1" ht="19.5" customHeight="1" x14ac:dyDescent="0.35">
      <c r="A19" s="16">
        <v>9</v>
      </c>
      <c r="B19" s="17">
        <v>0.29767087748440169</v>
      </c>
      <c r="H19" s="14">
        <v>9</v>
      </c>
      <c r="I19" s="25">
        <v>-4.3299999999999998E-2</v>
      </c>
    </row>
    <row r="20" spans="1:9" s="14" customFormat="1" ht="19.5" customHeight="1" x14ac:dyDescent="0.35">
      <c r="A20" s="16">
        <v>10</v>
      </c>
      <c r="B20" s="17">
        <v>0.86882529944476428</v>
      </c>
      <c r="H20" s="14">
        <v>10</v>
      </c>
      <c r="I20" s="25">
        <v>-4.2799999999999998E-2</v>
      </c>
    </row>
    <row r="21" spans="1:9" s="14" customFormat="1" ht="19.5" customHeight="1" x14ac:dyDescent="0.35">
      <c r="A21" s="16">
        <v>11</v>
      </c>
      <c r="B21" s="17">
        <v>1.3395155145788706</v>
      </c>
      <c r="H21" s="14">
        <v>11</v>
      </c>
      <c r="I21" s="26">
        <v>-3.4799999999999998E-2</v>
      </c>
    </row>
    <row r="22" spans="1:9" s="14" customFormat="1" ht="19.5" customHeight="1" x14ac:dyDescent="0.35">
      <c r="A22" s="16">
        <v>12</v>
      </c>
      <c r="B22" s="17">
        <v>-0.15608667247386521</v>
      </c>
      <c r="H22" s="14">
        <v>12</v>
      </c>
      <c r="I22" s="25">
        <v>-3.1899999999999998E-2</v>
      </c>
    </row>
    <row r="23" spans="1:9" s="14" customFormat="1" ht="19.5" customHeight="1" x14ac:dyDescent="0.35">
      <c r="A23" s="16">
        <v>13</v>
      </c>
      <c r="B23" s="17">
        <v>-1.2014615583012089</v>
      </c>
      <c r="H23" s="14">
        <v>13</v>
      </c>
      <c r="I23" s="25">
        <v>-2.4500000000000001E-2</v>
      </c>
    </row>
    <row r="24" spans="1:9" s="14" customFormat="1" ht="19.5" customHeight="1" x14ac:dyDescent="0.35">
      <c r="A24" s="16">
        <v>14</v>
      </c>
      <c r="B24" s="17">
        <v>3.1127562849819768E-2</v>
      </c>
      <c r="H24" s="14">
        <v>14</v>
      </c>
      <c r="I24" s="26">
        <v>-2.1000000000000001E-2</v>
      </c>
    </row>
    <row r="25" spans="1:9" s="14" customFormat="1" ht="19.5" customHeight="1" x14ac:dyDescent="0.35">
      <c r="A25" s="16">
        <v>15</v>
      </c>
      <c r="B25" s="17">
        <v>0.89050093712257361</v>
      </c>
      <c r="H25" s="14">
        <v>15</v>
      </c>
      <c r="I25" s="25">
        <v>-1.43E-2</v>
      </c>
    </row>
    <row r="26" spans="1:9" s="14" customFormat="1" ht="19.5" customHeight="1" x14ac:dyDescent="0.35">
      <c r="A26" s="16">
        <v>16</v>
      </c>
      <c r="B26" s="17">
        <v>-0.57005265768458324</v>
      </c>
      <c r="H26" s="14">
        <v>16</v>
      </c>
      <c r="I26" s="26">
        <v>-4.8999999999999998E-3</v>
      </c>
    </row>
    <row r="27" spans="1:9" s="14" customFormat="1" ht="19.5" customHeight="1" x14ac:dyDescent="0.35">
      <c r="A27" s="16">
        <v>17</v>
      </c>
      <c r="B27" s="17">
        <v>-1.8864479239942833</v>
      </c>
      <c r="H27" s="14">
        <v>17</v>
      </c>
      <c r="I27" s="25">
        <v>9.4999999999999998E-3</v>
      </c>
    </row>
    <row r="28" spans="1:9" s="14" customFormat="1" ht="19.5" customHeight="1" x14ac:dyDescent="0.35">
      <c r="A28" s="16">
        <v>18</v>
      </c>
      <c r="B28" s="17">
        <v>-0.75924389532928682</v>
      </c>
      <c r="H28" s="14">
        <v>18</v>
      </c>
      <c r="I28" s="25">
        <v>1.15E-2</v>
      </c>
    </row>
    <row r="29" spans="1:9" s="14" customFormat="1" ht="19.5" customHeight="1" x14ac:dyDescent="0.35">
      <c r="A29" s="16">
        <v>19</v>
      </c>
      <c r="B29" s="17">
        <v>-3.0054746669558874</v>
      </c>
      <c r="H29" s="14">
        <v>19</v>
      </c>
      <c r="I29" s="25">
        <v>1.15E-2</v>
      </c>
    </row>
    <row r="30" spans="1:9" s="14" customFormat="1" ht="19.5" customHeight="1" x14ac:dyDescent="0.35">
      <c r="A30" s="16">
        <v>20</v>
      </c>
      <c r="B30" s="17">
        <v>-3.2081456896948302</v>
      </c>
      <c r="H30" s="14">
        <v>20</v>
      </c>
      <c r="I30" s="25">
        <v>1.77E-2</v>
      </c>
    </row>
    <row r="31" spans="1:9" s="14" customFormat="1" ht="19.5" customHeight="1" x14ac:dyDescent="0.35">
      <c r="A31" s="16">
        <v>21</v>
      </c>
      <c r="B31" s="17">
        <v>6.2212665030525471E-2</v>
      </c>
      <c r="H31" s="14">
        <v>21</v>
      </c>
      <c r="I31" s="26">
        <v>1.7899999999999999E-2</v>
      </c>
    </row>
    <row r="32" spans="1:9" s="14" customFormat="1" ht="19.5" customHeight="1" x14ac:dyDescent="0.35">
      <c r="A32" s="16">
        <v>22</v>
      </c>
      <c r="B32" s="17">
        <v>-0.72396013408896343</v>
      </c>
      <c r="H32" s="14">
        <v>22</v>
      </c>
      <c r="I32" s="26">
        <v>2.5300000000000003E-2</v>
      </c>
    </row>
    <row r="33" spans="1:9" s="14" customFormat="1" ht="19.5" customHeight="1" x14ac:dyDescent="0.35">
      <c r="A33" s="16">
        <v>23</v>
      </c>
      <c r="B33" s="17">
        <v>1.65865653968571</v>
      </c>
      <c r="H33" s="14">
        <v>23</v>
      </c>
      <c r="I33" s="26">
        <v>3.1199999999999999E-2</v>
      </c>
    </row>
    <row r="34" spans="1:9" s="14" customFormat="1" ht="19.5" customHeight="1" x14ac:dyDescent="0.35">
      <c r="A34" s="16">
        <v>24</v>
      </c>
      <c r="B34" s="17">
        <v>-2.6175212402140158</v>
      </c>
      <c r="H34" s="14">
        <v>24</v>
      </c>
      <c r="I34" s="25">
        <v>5.2800000000000007E-2</v>
      </c>
    </row>
    <row r="35" spans="1:9" s="14" customFormat="1" ht="19.5" customHeight="1" x14ac:dyDescent="0.35">
      <c r="A35" s="16">
        <v>25</v>
      </c>
      <c r="B35" s="17">
        <v>-3.7510852028801778</v>
      </c>
      <c r="H35" s="14">
        <v>25</v>
      </c>
      <c r="I35" s="25">
        <v>5.2899999999999996E-2</v>
      </c>
    </row>
    <row r="36" spans="1:9" s="14" customFormat="1" ht="19.5" customHeight="1" x14ac:dyDescent="0.35">
      <c r="A36" s="16">
        <v>26</v>
      </c>
      <c r="B36" s="17">
        <v>-1.5219530427619032</v>
      </c>
      <c r="H36" s="14">
        <v>26</v>
      </c>
      <c r="I36" s="26">
        <v>6.0800000000000007E-2</v>
      </c>
    </row>
    <row r="37" spans="1:9" s="14" customFormat="1" ht="19.5" customHeight="1" x14ac:dyDescent="0.35">
      <c r="A37" s="16">
        <v>27</v>
      </c>
      <c r="B37" s="17">
        <v>2.8126175985148771</v>
      </c>
      <c r="H37" s="14">
        <v>27</v>
      </c>
      <c r="I37" s="25">
        <v>6.54E-2</v>
      </c>
    </row>
    <row r="38" spans="1:9" s="14" customFormat="1" ht="19.5" customHeight="1" x14ac:dyDescent="0.35">
      <c r="A38" s="16">
        <v>28</v>
      </c>
      <c r="B38" s="17">
        <v>-0.52423174935820605</v>
      </c>
      <c r="H38" s="14">
        <v>28</v>
      </c>
      <c r="I38" s="25">
        <v>6.9199999999999998E-2</v>
      </c>
    </row>
    <row r="39" spans="1:9" s="14" customFormat="1" ht="19.5" customHeight="1" x14ac:dyDescent="0.35">
      <c r="A39" s="16">
        <v>29</v>
      </c>
      <c r="B39" s="17">
        <v>2.5942010417448813</v>
      </c>
      <c r="H39" s="14">
        <v>29</v>
      </c>
      <c r="I39" s="25">
        <v>7.3999999999999996E-2</v>
      </c>
    </row>
    <row r="40" spans="1:9" s="14" customFormat="1" ht="19.5" customHeight="1" x14ac:dyDescent="0.35">
      <c r="A40" s="16">
        <v>30</v>
      </c>
      <c r="B40" s="17">
        <v>-2.4088299362497012</v>
      </c>
      <c r="H40" s="14">
        <v>30</v>
      </c>
      <c r="I40" s="25">
        <v>8.7300000000000003E-2</v>
      </c>
    </row>
    <row r="41" spans="1:9" s="14" customFormat="1" ht="19.5" customHeight="1" x14ac:dyDescent="0.35">
      <c r="A41" s="16">
        <v>31</v>
      </c>
      <c r="B41" s="17">
        <v>2.9576955176613406</v>
      </c>
      <c r="H41" s="14">
        <v>31</v>
      </c>
      <c r="I41" s="25">
        <v>9.1499999999999998E-2</v>
      </c>
    </row>
    <row r="42" spans="1:9" s="14" customFormat="1" ht="19.5" customHeight="1" x14ac:dyDescent="0.35">
      <c r="A42" s="16">
        <v>32</v>
      </c>
      <c r="B42" s="17">
        <v>0.54692115776100447</v>
      </c>
      <c r="H42" s="14">
        <v>32</v>
      </c>
      <c r="I42" s="26">
        <v>9.8000000000000004E-2</v>
      </c>
    </row>
    <row r="43" spans="1:9" s="14" customFormat="1" ht="19.5" customHeight="1" x14ac:dyDescent="0.35">
      <c r="A43" s="16">
        <v>33</v>
      </c>
      <c r="B43" s="17">
        <v>-1.2280652613657628</v>
      </c>
      <c r="H43" s="14">
        <v>33</v>
      </c>
      <c r="I43" s="25">
        <v>0.10349999999999999</v>
      </c>
    </row>
    <row r="44" spans="1:9" s="14" customFormat="1" ht="19.5" customHeight="1" x14ac:dyDescent="0.35">
      <c r="A44" s="16">
        <v>34</v>
      </c>
      <c r="B44" s="17">
        <v>-0.72523719399045783</v>
      </c>
      <c r="H44" s="14">
        <v>34</v>
      </c>
      <c r="I44" s="26">
        <v>0.1094</v>
      </c>
    </row>
    <row r="45" spans="1:9" ht="19.5" customHeight="1" x14ac:dyDescent="0.35">
      <c r="A45" s="16">
        <v>35</v>
      </c>
      <c r="B45" s="17">
        <v>-0.39619306898106554</v>
      </c>
      <c r="H45" s="14">
        <v>35</v>
      </c>
      <c r="I45" s="25">
        <v>0.1116</v>
      </c>
    </row>
    <row r="46" spans="1:9" ht="19.5" customHeight="1" x14ac:dyDescent="0.35">
      <c r="A46" s="16">
        <v>36</v>
      </c>
      <c r="B46" s="17">
        <v>-0.58212682970623097</v>
      </c>
      <c r="H46" s="14">
        <v>36</v>
      </c>
      <c r="I46" s="25">
        <v>0.11900000000000001</v>
      </c>
    </row>
    <row r="47" spans="1:9" ht="19.5" customHeight="1" x14ac:dyDescent="0.35">
      <c r="A47" s="16">
        <v>37</v>
      </c>
      <c r="B47" s="17">
        <v>-2.3814615369661118</v>
      </c>
      <c r="H47" s="14">
        <v>37</v>
      </c>
      <c r="I47" s="25">
        <v>0.1191</v>
      </c>
    </row>
    <row r="48" spans="1:9" ht="19.5" customHeight="1" x14ac:dyDescent="0.35">
      <c r="A48" s="16">
        <v>38</v>
      </c>
      <c r="B48" s="17">
        <v>-1.3222119008064914</v>
      </c>
      <c r="H48" s="14">
        <v>38</v>
      </c>
      <c r="I48" s="25">
        <v>0.13150000000000001</v>
      </c>
    </row>
    <row r="49" spans="1:9" ht="19.5" customHeight="1" x14ac:dyDescent="0.35">
      <c r="A49" s="16">
        <v>39</v>
      </c>
      <c r="B49" s="17">
        <v>3.6058675096936943</v>
      </c>
      <c r="H49" s="14">
        <v>39</v>
      </c>
      <c r="I49" s="25">
        <v>0.1376</v>
      </c>
    </row>
    <row r="50" spans="1:9" ht="19.5" customHeight="1" x14ac:dyDescent="0.35">
      <c r="A50" s="16">
        <v>40</v>
      </c>
      <c r="B50" s="17">
        <v>3.4108103352938235</v>
      </c>
      <c r="H50" s="14">
        <v>40</v>
      </c>
      <c r="I50" s="26">
        <v>0.1449</v>
      </c>
    </row>
    <row r="51" spans="1:9" ht="19.5" customHeight="1" x14ac:dyDescent="0.35">
      <c r="A51" s="16">
        <v>41</v>
      </c>
      <c r="B51" s="17">
        <v>-0.1757284497190037</v>
      </c>
      <c r="H51" s="14">
        <v>41</v>
      </c>
      <c r="I51" s="25">
        <v>0.1482</v>
      </c>
    </row>
    <row r="52" spans="1:9" ht="19.5" customHeight="1" x14ac:dyDescent="0.35">
      <c r="A52" s="16">
        <v>42</v>
      </c>
      <c r="B52" s="17">
        <v>-1.3544927682674235</v>
      </c>
      <c r="H52" s="14">
        <v>42</v>
      </c>
      <c r="I52" s="26">
        <v>0.15260000000000001</v>
      </c>
    </row>
    <row r="53" spans="1:9" ht="19.5" customHeight="1" x14ac:dyDescent="0.35">
      <c r="A53" s="16">
        <v>43</v>
      </c>
      <c r="B53" s="17">
        <v>0.59849053762950355</v>
      </c>
      <c r="H53" s="14">
        <v>43</v>
      </c>
      <c r="I53" s="26">
        <v>0.1595</v>
      </c>
    </row>
    <row r="54" spans="1:9" ht="19.5" customHeight="1" x14ac:dyDescent="0.35">
      <c r="A54" s="16">
        <v>44</v>
      </c>
      <c r="B54" s="17">
        <v>-2.3629127828662222</v>
      </c>
      <c r="H54" s="14">
        <v>44</v>
      </c>
      <c r="I54" s="25">
        <v>0.16039999999999999</v>
      </c>
    </row>
    <row r="55" spans="1:9" ht="19.5" customHeight="1" x14ac:dyDescent="0.35">
      <c r="A55" s="16">
        <v>45</v>
      </c>
      <c r="B55" s="17">
        <v>1.4948289748290211</v>
      </c>
      <c r="H55" s="14">
        <v>45</v>
      </c>
      <c r="I55" s="25">
        <v>0.16500000000000001</v>
      </c>
    </row>
    <row r="56" spans="1:9" ht="19.5" customHeight="1" x14ac:dyDescent="0.35">
      <c r="A56" s="16">
        <v>46</v>
      </c>
      <c r="B56" s="17">
        <v>1.0307957423734804</v>
      </c>
      <c r="H56" s="14">
        <v>46</v>
      </c>
      <c r="I56" s="26">
        <v>0.1741</v>
      </c>
    </row>
    <row r="57" spans="1:9" ht="19.5" customHeight="1" x14ac:dyDescent="0.35">
      <c r="A57" s="16">
        <v>47</v>
      </c>
      <c r="B57" s="17">
        <v>2.2345287130690394</v>
      </c>
      <c r="H57" s="14">
        <v>47</v>
      </c>
      <c r="I57" s="25">
        <v>0.18730000000000002</v>
      </c>
    </row>
    <row r="58" spans="1:9" ht="19.5" customHeight="1" x14ac:dyDescent="0.35">
      <c r="A58" s="16">
        <v>48</v>
      </c>
      <c r="B58" s="17">
        <v>1.3087645092837219</v>
      </c>
      <c r="H58" s="14">
        <v>48</v>
      </c>
      <c r="I58" s="26">
        <v>0.189</v>
      </c>
    </row>
    <row r="59" spans="1:9" ht="19.5" customHeight="1" x14ac:dyDescent="0.35">
      <c r="A59" s="16">
        <v>49</v>
      </c>
      <c r="B59" s="17">
        <v>1.2236529524783046</v>
      </c>
      <c r="H59" s="14">
        <v>49</v>
      </c>
      <c r="I59" s="25">
        <v>0.18940000000000001</v>
      </c>
    </row>
    <row r="60" spans="1:9" ht="19.5" customHeight="1" x14ac:dyDescent="0.35">
      <c r="A60" s="16">
        <v>50</v>
      </c>
      <c r="B60" s="17">
        <v>-2.4799584852249756</v>
      </c>
      <c r="H60" s="14">
        <v>50</v>
      </c>
      <c r="I60" s="26">
        <v>0.19009999999999999</v>
      </c>
    </row>
    <row r="61" spans="1:9" ht="19.5" customHeight="1" x14ac:dyDescent="0.35">
      <c r="A61" s="16">
        <v>51</v>
      </c>
      <c r="B61" s="17">
        <v>0.8206088229530728</v>
      </c>
      <c r="H61" s="14">
        <v>51</v>
      </c>
      <c r="I61" s="26">
        <v>0.1973</v>
      </c>
    </row>
    <row r="62" spans="1:9" ht="19.5" customHeight="1" x14ac:dyDescent="0.35">
      <c r="A62" s="16">
        <v>52</v>
      </c>
      <c r="B62" s="17">
        <v>-1.6866424362018573</v>
      </c>
      <c r="H62" s="14">
        <v>52</v>
      </c>
      <c r="I62" s="26">
        <v>0.20110000000000003</v>
      </c>
    </row>
    <row r="63" spans="1:9" ht="19.5" customHeight="1" x14ac:dyDescent="0.35">
      <c r="A63" s="16">
        <v>53</v>
      </c>
      <c r="B63" s="17">
        <v>0.55057863051197753</v>
      </c>
      <c r="H63" s="14">
        <v>53</v>
      </c>
      <c r="I63" s="25">
        <v>0.22839999999999999</v>
      </c>
    </row>
    <row r="64" spans="1:9" ht="19.5" customHeight="1" x14ac:dyDescent="0.35">
      <c r="A64" s="16">
        <v>54</v>
      </c>
      <c r="B64" s="17">
        <v>2.2445488625739252</v>
      </c>
      <c r="H64" s="14">
        <v>54</v>
      </c>
      <c r="I64" s="26">
        <v>0.27610000000000001</v>
      </c>
    </row>
    <row r="65" spans="1:9" ht="19.5" customHeight="1" x14ac:dyDescent="0.35">
      <c r="A65" s="16">
        <v>55</v>
      </c>
      <c r="B65" s="17">
        <v>0.19529366380557356</v>
      </c>
      <c r="H65" s="14">
        <v>55</v>
      </c>
      <c r="I65" s="25">
        <v>0.29630000000000001</v>
      </c>
    </row>
    <row r="66" spans="1:9" ht="19.5" customHeight="1" x14ac:dyDescent="0.35">
      <c r="A66" s="16">
        <v>56</v>
      </c>
      <c r="B66" s="17">
        <v>0.55251764106543089</v>
      </c>
      <c r="H66" s="14">
        <v>56</v>
      </c>
      <c r="I66" s="26">
        <v>0.30320000000000003</v>
      </c>
    </row>
    <row r="67" spans="1:9" ht="19.5" customHeight="1" x14ac:dyDescent="0.35">
      <c r="A67" s="16">
        <v>57</v>
      </c>
      <c r="B67" s="17">
        <v>-1.0710047739648121</v>
      </c>
      <c r="H67" s="14">
        <v>57</v>
      </c>
      <c r="I67" s="26">
        <v>0.31020000000000003</v>
      </c>
    </row>
    <row r="68" spans="1:9" ht="19.5" customHeight="1" x14ac:dyDescent="0.35">
      <c r="A68" s="16">
        <v>58</v>
      </c>
      <c r="B68" s="17">
        <v>1.2934081144514664</v>
      </c>
      <c r="H68" s="14">
        <v>58</v>
      </c>
      <c r="I68" s="25">
        <v>0.3382</v>
      </c>
    </row>
    <row r="69" spans="1:9" ht="19.5" customHeight="1" x14ac:dyDescent="0.35">
      <c r="A69" s="16">
        <v>59</v>
      </c>
      <c r="B69" s="17">
        <v>-0.38792561147794613</v>
      </c>
      <c r="H69" s="14">
        <v>59</v>
      </c>
      <c r="I69" s="26">
        <v>0.3483</v>
      </c>
    </row>
    <row r="70" spans="1:9" ht="19.5" customHeight="1" x14ac:dyDescent="0.35">
      <c r="A70" s="16">
        <v>60</v>
      </c>
      <c r="B70" s="17">
        <v>1.0263927903990666</v>
      </c>
      <c r="H70" s="14">
        <v>60</v>
      </c>
      <c r="I70" s="26">
        <v>0.49249999999999999</v>
      </c>
    </row>
  </sheetData>
  <mergeCells count="2">
    <mergeCell ref="A1:B1"/>
    <mergeCell ref="D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</vt:lpstr>
      <vt:lpstr>CVaR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Nash</dc:creator>
  <cp:lastModifiedBy>Charlie Nash</cp:lastModifiedBy>
  <dcterms:created xsi:type="dcterms:W3CDTF">2025-10-06T12:22:40Z</dcterms:created>
  <dcterms:modified xsi:type="dcterms:W3CDTF">2025-10-10T10:10:56Z</dcterms:modified>
</cp:coreProperties>
</file>